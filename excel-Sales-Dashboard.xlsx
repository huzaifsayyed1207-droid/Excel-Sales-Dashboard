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wasim\Downloads\"/>
    </mc:Choice>
  </mc:AlternateContent>
  <xr:revisionPtr revIDLastSave="0" documentId="13_ncr:1_{CC74C198-CD24-48D7-BCDA-D15038607517}" xr6:coauthVersionLast="47" xr6:coauthVersionMax="47" xr10:uidLastSave="{00000000-0000-0000-0000-000000000000}"/>
  <bookViews>
    <workbookView xWindow="-108" yWindow="-108" windowWidth="23256" windowHeight="12456" activeTab="2" xr2:uid="{A417F1AD-6A0B-4EAB-B6CD-80C1FE0E1E48}"/>
  </bookViews>
  <sheets>
    <sheet name="data" sheetId="1" r:id="rId1"/>
    <sheet name="pivot table" sheetId="3" r:id="rId2"/>
    <sheet name="dash" sheetId="10" r:id="rId3"/>
  </sheets>
  <definedNames>
    <definedName name="Slicer_Item_Category">#N/A</definedName>
    <definedName name="Slicer_Region">#N/A</definedName>
  </definedNames>
  <calcPr calcId="191029"/>
  <pivotCaches>
    <pivotCache cacheId="4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1" l="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8" i="1"/>
  <c r="L9" i="1"/>
  <c r="L10" i="1"/>
  <c r="L11" i="1"/>
  <c r="N11" i="1" s="1"/>
  <c r="L12" i="1"/>
  <c r="L13" i="1"/>
  <c r="L14" i="1"/>
  <c r="L15" i="1"/>
  <c r="L16" i="1"/>
  <c r="L17" i="1"/>
  <c r="L18" i="1"/>
  <c r="L19" i="1"/>
  <c r="L20" i="1"/>
  <c r="L21" i="1"/>
  <c r="L22" i="1"/>
  <c r="L23" i="1"/>
  <c r="N23" i="1" s="1"/>
  <c r="L24" i="1"/>
  <c r="L25" i="1"/>
  <c r="L26" i="1"/>
  <c r="L27" i="1"/>
  <c r="N27" i="1" s="1"/>
  <c r="L28" i="1"/>
  <c r="L29" i="1"/>
  <c r="L30" i="1"/>
  <c r="L31" i="1"/>
  <c r="L32" i="1"/>
  <c r="L33" i="1"/>
  <c r="L34" i="1"/>
  <c r="L35" i="1"/>
  <c r="N35" i="1" s="1"/>
  <c r="L36" i="1"/>
  <c r="L37" i="1"/>
  <c r="L38" i="1"/>
  <c r="L39" i="1"/>
  <c r="L40" i="1"/>
  <c r="L41" i="1"/>
  <c r="L42" i="1"/>
  <c r="L43" i="1"/>
  <c r="N43" i="1" s="1"/>
  <c r="L44" i="1"/>
  <c r="L45" i="1"/>
  <c r="L46" i="1"/>
  <c r="L47" i="1"/>
  <c r="L48" i="1"/>
  <c r="L49" i="1"/>
  <c r="L50" i="1"/>
  <c r="L51" i="1"/>
  <c r="L52" i="1"/>
  <c r="L53" i="1"/>
  <c r="L54" i="1"/>
  <c r="L55" i="1"/>
  <c r="N55" i="1" s="1"/>
  <c r="L56" i="1"/>
  <c r="L57" i="1"/>
  <c r="L58" i="1"/>
  <c r="L59" i="1"/>
  <c r="N59" i="1" s="1"/>
  <c r="L60" i="1"/>
  <c r="L61" i="1"/>
  <c r="L62" i="1"/>
  <c r="L63" i="1"/>
  <c r="L64" i="1"/>
  <c r="L65" i="1"/>
  <c r="L66" i="1"/>
  <c r="L67" i="1"/>
  <c r="N67" i="1" s="1"/>
  <c r="L68" i="1"/>
  <c r="L69" i="1"/>
  <c r="L70" i="1"/>
  <c r="L71" i="1"/>
  <c r="L72" i="1"/>
  <c r="L73" i="1"/>
  <c r="L74" i="1"/>
  <c r="L75" i="1"/>
  <c r="N75" i="1" s="1"/>
  <c r="L76" i="1"/>
  <c r="L77" i="1"/>
  <c r="L78" i="1"/>
  <c r="L79" i="1"/>
  <c r="L80" i="1"/>
  <c r="L81" i="1"/>
  <c r="L82" i="1"/>
  <c r="L83" i="1"/>
  <c r="L84" i="1"/>
  <c r="L85" i="1"/>
  <c r="L86" i="1"/>
  <c r="L87" i="1"/>
  <c r="N87" i="1" s="1"/>
  <c r="L88" i="1"/>
  <c r="L89" i="1"/>
  <c r="L90" i="1"/>
  <c r="L91" i="1"/>
  <c r="N91" i="1" s="1"/>
  <c r="L92" i="1"/>
  <c r="L93" i="1"/>
  <c r="L94" i="1"/>
  <c r="L95" i="1"/>
  <c r="L96" i="1"/>
  <c r="L97" i="1"/>
  <c r="L98" i="1"/>
  <c r="L99" i="1"/>
  <c r="N99" i="1" s="1"/>
  <c r="L100" i="1"/>
  <c r="L101" i="1"/>
  <c r="L102" i="1"/>
  <c r="L103" i="1"/>
  <c r="L104" i="1"/>
  <c r="L105" i="1"/>
  <c r="L106" i="1"/>
  <c r="L107" i="1"/>
  <c r="N107" i="1" s="1"/>
  <c r="L108" i="1"/>
  <c r="L109" i="1"/>
  <c r="L110" i="1"/>
  <c r="L111" i="1"/>
  <c r="L112" i="1"/>
  <c r="L113" i="1"/>
  <c r="L114" i="1"/>
  <c r="L115" i="1"/>
  <c r="L116" i="1"/>
  <c r="L117" i="1"/>
  <c r="L118" i="1"/>
  <c r="L119" i="1"/>
  <c r="N119" i="1" s="1"/>
  <c r="L120" i="1"/>
  <c r="L121" i="1"/>
  <c r="L122" i="1"/>
  <c r="L123" i="1"/>
  <c r="N123" i="1" s="1"/>
  <c r="L124" i="1"/>
  <c r="L125" i="1"/>
  <c r="L126" i="1"/>
  <c r="L127" i="1"/>
  <c r="L128" i="1"/>
  <c r="L129" i="1"/>
  <c r="L130" i="1"/>
  <c r="L131" i="1"/>
  <c r="N131" i="1" s="1"/>
  <c r="L132" i="1"/>
  <c r="L133" i="1"/>
  <c r="L134" i="1"/>
  <c r="L135" i="1"/>
  <c r="L136" i="1"/>
  <c r="L137" i="1"/>
  <c r="L138" i="1"/>
  <c r="L139" i="1"/>
  <c r="N139" i="1" s="1"/>
  <c r="L140" i="1"/>
  <c r="L141" i="1"/>
  <c r="L142" i="1"/>
  <c r="L143" i="1"/>
  <c r="L144" i="1"/>
  <c r="L145" i="1"/>
  <c r="L146" i="1"/>
  <c r="L147" i="1"/>
  <c r="L148" i="1"/>
  <c r="L149" i="1"/>
  <c r="L150" i="1"/>
  <c r="L151" i="1"/>
  <c r="N151" i="1" s="1"/>
  <c r="L152" i="1"/>
  <c r="L153" i="1"/>
  <c r="L154" i="1"/>
  <c r="L155" i="1"/>
  <c r="N155" i="1" s="1"/>
  <c r="L156" i="1"/>
  <c r="L157" i="1"/>
  <c r="L158" i="1"/>
  <c r="L159" i="1"/>
  <c r="L160" i="1"/>
  <c r="L161" i="1"/>
  <c r="L162" i="1"/>
  <c r="L163" i="1"/>
  <c r="N163" i="1" s="1"/>
  <c r="L164" i="1"/>
  <c r="L165" i="1"/>
  <c r="L166" i="1"/>
  <c r="L167" i="1"/>
  <c r="L168" i="1"/>
  <c r="L169" i="1"/>
  <c r="L170" i="1"/>
  <c r="L171" i="1"/>
  <c r="N171" i="1" s="1"/>
  <c r="L172" i="1"/>
  <c r="L173" i="1"/>
  <c r="L174" i="1"/>
  <c r="L175" i="1"/>
  <c r="L176" i="1"/>
  <c r="L177" i="1"/>
  <c r="L178" i="1"/>
  <c r="L179" i="1"/>
  <c r="L180" i="1"/>
  <c r="L181" i="1"/>
  <c r="L182" i="1"/>
  <c r="L183" i="1"/>
  <c r="N183" i="1" s="1"/>
  <c r="L184" i="1"/>
  <c r="L185" i="1"/>
  <c r="L186" i="1"/>
  <c r="L187" i="1"/>
  <c r="N187" i="1" s="1"/>
  <c r="L188" i="1"/>
  <c r="L189" i="1"/>
  <c r="L190" i="1"/>
  <c r="L191" i="1"/>
  <c r="L192" i="1"/>
  <c r="L193" i="1"/>
  <c r="L194" i="1"/>
  <c r="L195" i="1"/>
  <c r="N195" i="1" s="1"/>
  <c r="L196" i="1"/>
  <c r="L197" i="1"/>
  <c r="L198" i="1"/>
  <c r="L199" i="1"/>
  <c r="L200" i="1"/>
  <c r="L201" i="1"/>
  <c r="L202" i="1"/>
  <c r="L203" i="1"/>
  <c r="N203" i="1" s="1"/>
  <c r="L204" i="1"/>
  <c r="L205" i="1"/>
  <c r="L206" i="1"/>
  <c r="L207" i="1"/>
  <c r="L208" i="1"/>
  <c r="L209" i="1"/>
  <c r="L210" i="1"/>
  <c r="L211" i="1"/>
  <c r="L212" i="1"/>
  <c r="L213" i="1"/>
  <c r="L214" i="1"/>
  <c r="L215" i="1"/>
  <c r="N215" i="1" s="1"/>
  <c r="L216" i="1"/>
  <c r="L217" i="1"/>
  <c r="L218" i="1"/>
  <c r="L219" i="1"/>
  <c r="N219" i="1" s="1"/>
  <c r="L220" i="1"/>
  <c r="L221" i="1"/>
  <c r="L222" i="1"/>
  <c r="L223" i="1"/>
  <c r="L224" i="1"/>
  <c r="L225" i="1"/>
  <c r="L226" i="1"/>
  <c r="L227" i="1"/>
  <c r="N227" i="1" s="1"/>
  <c r="L228" i="1"/>
  <c r="L229" i="1"/>
  <c r="L230" i="1"/>
  <c r="L231" i="1"/>
  <c r="L232" i="1"/>
  <c r="L233" i="1"/>
  <c r="L234" i="1"/>
  <c r="L235" i="1"/>
  <c r="N235" i="1" s="1"/>
  <c r="L236" i="1"/>
  <c r="L237" i="1"/>
  <c r="L238" i="1"/>
  <c r="L239" i="1"/>
  <c r="L240" i="1"/>
  <c r="L241" i="1"/>
  <c r="L242" i="1"/>
  <c r="L243" i="1"/>
  <c r="L244" i="1"/>
  <c r="L245" i="1"/>
  <c r="L246" i="1"/>
  <c r="L247" i="1"/>
  <c r="N247" i="1" s="1"/>
  <c r="L248" i="1"/>
  <c r="L249" i="1"/>
  <c r="L250" i="1"/>
  <c r="L251" i="1"/>
  <c r="N251" i="1" s="1"/>
  <c r="L252" i="1"/>
  <c r="L253" i="1"/>
  <c r="L254" i="1"/>
  <c r="L255" i="1"/>
  <c r="L256" i="1"/>
  <c r="L257" i="1"/>
  <c r="L258" i="1"/>
  <c r="L259" i="1"/>
  <c r="L260" i="1"/>
  <c r="L261" i="1"/>
  <c r="L262" i="1"/>
  <c r="L263" i="1"/>
  <c r="N263" i="1" s="1"/>
  <c r="L264" i="1"/>
  <c r="L265" i="1"/>
  <c r="L266" i="1"/>
  <c r="L267" i="1"/>
  <c r="N267" i="1" s="1"/>
  <c r="L268" i="1"/>
  <c r="L269" i="1"/>
  <c r="L270" i="1"/>
  <c r="L271" i="1"/>
  <c r="L272" i="1"/>
  <c r="L273" i="1"/>
  <c r="L274" i="1"/>
  <c r="L275" i="1"/>
  <c r="N275" i="1" s="1"/>
  <c r="L276" i="1"/>
  <c r="L277" i="1"/>
  <c r="L278" i="1"/>
  <c r="L279" i="1"/>
  <c r="L280" i="1"/>
  <c r="L281" i="1"/>
  <c r="L282" i="1"/>
  <c r="L283" i="1"/>
  <c r="N283" i="1" s="1"/>
  <c r="L284" i="1"/>
  <c r="L285" i="1"/>
  <c r="L286" i="1"/>
  <c r="L287" i="1"/>
  <c r="L288" i="1"/>
  <c r="L289" i="1"/>
  <c r="L290" i="1"/>
  <c r="L291" i="1"/>
  <c r="N291" i="1" s="1"/>
  <c r="L292" i="1"/>
  <c r="L293" i="1"/>
  <c r="L294" i="1"/>
  <c r="L295" i="1"/>
  <c r="N295" i="1" s="1"/>
  <c r="L296" i="1"/>
  <c r="L297" i="1"/>
  <c r="L298" i="1"/>
  <c r="L299" i="1"/>
  <c r="N299" i="1" s="1"/>
  <c r="L300" i="1"/>
  <c r="L301" i="1"/>
  <c r="L302" i="1"/>
  <c r="L303" i="1"/>
  <c r="L304" i="1"/>
  <c r="L305" i="1"/>
  <c r="L306" i="1"/>
  <c r="L307" i="1"/>
  <c r="L308" i="1"/>
  <c r="L309" i="1"/>
  <c r="L310" i="1"/>
  <c r="L311" i="1"/>
  <c r="N311" i="1" s="1"/>
  <c r="L312" i="1"/>
  <c r="L313" i="1"/>
  <c r="L314" i="1"/>
  <c r="L315" i="1"/>
  <c r="N315" i="1" s="1"/>
  <c r="L316" i="1"/>
  <c r="L317" i="1"/>
  <c r="L318" i="1"/>
  <c r="L319" i="1"/>
  <c r="L320" i="1"/>
  <c r="L321" i="1"/>
  <c r="L322" i="1"/>
  <c r="L323" i="1"/>
  <c r="L324" i="1"/>
  <c r="L325" i="1"/>
  <c r="L326" i="1"/>
  <c r="L327" i="1"/>
  <c r="N327" i="1" s="1"/>
  <c r="L328" i="1"/>
  <c r="L329" i="1"/>
  <c r="L330" i="1"/>
  <c r="L331" i="1"/>
  <c r="N331" i="1" s="1"/>
  <c r="L332" i="1"/>
  <c r="L333" i="1"/>
  <c r="L334" i="1"/>
  <c r="L335" i="1"/>
  <c r="L336" i="1"/>
  <c r="L337" i="1"/>
  <c r="L338" i="1"/>
  <c r="L339" i="1"/>
  <c r="N339" i="1" s="1"/>
  <c r="L340" i="1"/>
  <c r="L341" i="1"/>
  <c r="L342" i="1"/>
  <c r="L343" i="1"/>
  <c r="L344" i="1"/>
  <c r="L345" i="1"/>
  <c r="L346" i="1"/>
  <c r="L347" i="1"/>
  <c r="N347" i="1" s="1"/>
  <c r="L348" i="1"/>
  <c r="L349" i="1"/>
  <c r="L350" i="1"/>
  <c r="L351" i="1"/>
  <c r="L352" i="1"/>
  <c r="L353" i="1"/>
  <c r="L354" i="1"/>
  <c r="L355" i="1"/>
  <c r="N355" i="1" s="1"/>
  <c r="L356" i="1"/>
  <c r="L357" i="1"/>
  <c r="L358" i="1"/>
  <c r="L359" i="1"/>
  <c r="N359" i="1" s="1"/>
  <c r="L360" i="1"/>
  <c r="L361" i="1"/>
  <c r="L362" i="1"/>
  <c r="L363" i="1"/>
  <c r="N363" i="1" s="1"/>
  <c r="L364" i="1"/>
  <c r="L365" i="1"/>
  <c r="L366" i="1"/>
  <c r="L367" i="1"/>
  <c r="L368" i="1"/>
  <c r="L369" i="1"/>
  <c r="L370" i="1"/>
  <c r="L371" i="1"/>
  <c r="N371" i="1" s="1"/>
  <c r="L372" i="1"/>
  <c r="L373" i="1"/>
  <c r="L374" i="1"/>
  <c r="L375" i="1"/>
  <c r="N375" i="1" s="1"/>
  <c r="L376" i="1"/>
  <c r="L377" i="1"/>
  <c r="L378" i="1"/>
  <c r="L379" i="1"/>
  <c r="N379" i="1" s="1"/>
  <c r="L380" i="1"/>
  <c r="L381" i="1"/>
  <c r="L382" i="1"/>
  <c r="L383" i="1"/>
  <c r="L384" i="1"/>
  <c r="L385" i="1"/>
  <c r="L386" i="1"/>
  <c r="L387" i="1"/>
  <c r="N387" i="1" s="1"/>
  <c r="L388" i="1"/>
  <c r="L389" i="1"/>
  <c r="L390" i="1"/>
  <c r="L391" i="1"/>
  <c r="N391" i="1" s="1"/>
  <c r="L392" i="1"/>
  <c r="L393" i="1"/>
  <c r="L394" i="1"/>
  <c r="L395" i="1"/>
  <c r="N395" i="1" s="1"/>
  <c r="L396" i="1"/>
  <c r="L397" i="1"/>
  <c r="L398" i="1"/>
  <c r="L399" i="1"/>
  <c r="L400" i="1"/>
  <c r="L401" i="1"/>
  <c r="L402" i="1"/>
  <c r="L403" i="1"/>
  <c r="N403" i="1" s="1"/>
  <c r="L404" i="1"/>
  <c r="L405" i="1"/>
  <c r="L406" i="1"/>
  <c r="L407" i="1"/>
  <c r="N407" i="1" s="1"/>
  <c r="L408" i="1"/>
  <c r="L409" i="1"/>
  <c r="L410" i="1"/>
  <c r="L411" i="1"/>
  <c r="N411" i="1" s="1"/>
  <c r="L412" i="1"/>
  <c r="L413" i="1"/>
  <c r="L414" i="1"/>
  <c r="L415" i="1"/>
  <c r="L416" i="1"/>
  <c r="L417" i="1"/>
  <c r="L418" i="1"/>
  <c r="L419" i="1"/>
  <c r="N419" i="1" s="1"/>
  <c r="L420" i="1"/>
  <c r="L421" i="1"/>
  <c r="L422" i="1"/>
  <c r="L423" i="1"/>
  <c r="N423" i="1" s="1"/>
  <c r="L424" i="1"/>
  <c r="L425" i="1"/>
  <c r="L426" i="1"/>
  <c r="L427" i="1"/>
  <c r="N427" i="1" s="1"/>
  <c r="L428" i="1"/>
  <c r="L429" i="1"/>
  <c r="L430" i="1"/>
  <c r="L431" i="1"/>
  <c r="L432" i="1"/>
  <c r="L433" i="1"/>
  <c r="L434" i="1"/>
  <c r="L435" i="1"/>
  <c r="N435" i="1" s="1"/>
  <c r="L436" i="1"/>
  <c r="L437" i="1"/>
  <c r="L438" i="1"/>
  <c r="L439" i="1"/>
  <c r="N439" i="1" s="1"/>
  <c r="L440" i="1"/>
  <c r="L441" i="1"/>
  <c r="L442" i="1"/>
  <c r="L443" i="1"/>
  <c r="N443" i="1" s="1"/>
  <c r="L444" i="1"/>
  <c r="L445" i="1"/>
  <c r="L446" i="1"/>
  <c r="L447" i="1"/>
  <c r="L448" i="1"/>
  <c r="L449" i="1"/>
  <c r="L450" i="1"/>
  <c r="L451" i="1"/>
  <c r="N451" i="1" s="1"/>
  <c r="L452" i="1"/>
  <c r="L453" i="1"/>
  <c r="L454" i="1"/>
  <c r="L455" i="1"/>
  <c r="N455" i="1" s="1"/>
  <c r="L456" i="1"/>
  <c r="L457" i="1"/>
  <c r="L458" i="1"/>
  <c r="L459" i="1"/>
  <c r="N459" i="1" s="1"/>
  <c r="L460" i="1"/>
  <c r="L461" i="1"/>
  <c r="L462" i="1"/>
  <c r="L463" i="1"/>
  <c r="L464" i="1"/>
  <c r="L465" i="1"/>
  <c r="L466" i="1"/>
  <c r="L467" i="1"/>
  <c r="N467" i="1" s="1"/>
  <c r="L468" i="1"/>
  <c r="L469" i="1"/>
  <c r="L470" i="1"/>
  <c r="L471" i="1"/>
  <c r="N471" i="1" s="1"/>
  <c r="L472" i="1"/>
  <c r="L473" i="1"/>
  <c r="L474" i="1"/>
  <c r="L475" i="1"/>
  <c r="N475" i="1" s="1"/>
  <c r="L476" i="1"/>
  <c r="L477" i="1"/>
  <c r="L478" i="1"/>
  <c r="L479" i="1"/>
  <c r="L480" i="1"/>
  <c r="L481" i="1"/>
  <c r="L482" i="1"/>
  <c r="L483" i="1"/>
  <c r="N483" i="1" s="1"/>
  <c r="L484" i="1"/>
  <c r="L485" i="1"/>
  <c r="L486" i="1"/>
  <c r="L487" i="1"/>
  <c r="N487" i="1" s="1"/>
  <c r="L488" i="1"/>
  <c r="L489" i="1"/>
  <c r="L490" i="1"/>
  <c r="L491" i="1"/>
  <c r="N491" i="1" s="1"/>
  <c r="L492" i="1"/>
  <c r="L493" i="1"/>
  <c r="L494" i="1"/>
  <c r="L495" i="1"/>
  <c r="L496" i="1"/>
  <c r="L497" i="1"/>
  <c r="L498" i="1"/>
  <c r="L499" i="1"/>
  <c r="N499" i="1" s="1"/>
  <c r="L500" i="1"/>
  <c r="L501" i="1"/>
  <c r="L3" i="1"/>
  <c r="L4" i="1"/>
  <c r="L5" i="1"/>
  <c r="M5" i="1" s="1"/>
  <c r="L6" i="1"/>
  <c r="L7" i="1"/>
  <c r="N10" i="1"/>
  <c r="N14" i="1"/>
  <c r="N18" i="1"/>
  <c r="N350" i="1"/>
  <c r="N354" i="1"/>
  <c r="N358" i="1"/>
  <c r="N362" i="1"/>
  <c r="N366" i="1"/>
  <c r="N370" i="1"/>
  <c r="N374" i="1"/>
  <c r="N378" i="1"/>
  <c r="N382" i="1"/>
  <c r="N386" i="1"/>
  <c r="N390" i="1"/>
  <c r="N394" i="1"/>
  <c r="N398" i="1"/>
  <c r="N402" i="1"/>
  <c r="N406" i="1"/>
  <c r="N410" i="1"/>
  <c r="N414" i="1"/>
  <c r="N418" i="1"/>
  <c r="N422" i="1"/>
  <c r="N426" i="1"/>
  <c r="N430" i="1"/>
  <c r="N434" i="1"/>
  <c r="N438" i="1"/>
  <c r="N442" i="1"/>
  <c r="N446" i="1"/>
  <c r="N450" i="1"/>
  <c r="N454" i="1"/>
  <c r="N458" i="1"/>
  <c r="N462" i="1"/>
  <c r="N466" i="1"/>
  <c r="N470" i="1"/>
  <c r="N474" i="1"/>
  <c r="N478" i="1"/>
  <c r="N482" i="1"/>
  <c r="N486" i="1"/>
  <c r="N490" i="1"/>
  <c r="N494" i="1"/>
  <c r="N498" i="1"/>
  <c r="M4" i="1"/>
  <c r="N2" i="1"/>
  <c r="N3" i="1"/>
  <c r="N4" i="1"/>
  <c r="N7" i="1"/>
  <c r="N8" i="1"/>
  <c r="N9" i="1"/>
  <c r="N12" i="1"/>
  <c r="N13" i="1"/>
  <c r="N15" i="1"/>
  <c r="N16" i="1"/>
  <c r="N17" i="1"/>
  <c r="N20" i="1"/>
  <c r="N21" i="1"/>
  <c r="N24" i="1"/>
  <c r="N25" i="1"/>
  <c r="N28" i="1"/>
  <c r="N29" i="1"/>
  <c r="N31" i="1"/>
  <c r="N32" i="1"/>
  <c r="N33" i="1"/>
  <c r="N36" i="1"/>
  <c r="N37" i="1"/>
  <c r="N40" i="1"/>
  <c r="N41" i="1"/>
  <c r="N44" i="1"/>
  <c r="N45" i="1"/>
  <c r="N47" i="1"/>
  <c r="N48" i="1"/>
  <c r="N49" i="1"/>
  <c r="N52" i="1"/>
  <c r="N53" i="1"/>
  <c r="N56" i="1"/>
  <c r="N57" i="1"/>
  <c r="N60" i="1"/>
  <c r="N61" i="1"/>
  <c r="N63" i="1"/>
  <c r="N64" i="1"/>
  <c r="N65" i="1"/>
  <c r="N68" i="1"/>
  <c r="N69" i="1"/>
  <c r="N72" i="1"/>
  <c r="N73" i="1"/>
  <c r="N76" i="1"/>
  <c r="N77" i="1"/>
  <c r="N79" i="1"/>
  <c r="N80" i="1"/>
  <c r="N81" i="1"/>
  <c r="N84" i="1"/>
  <c r="N85" i="1"/>
  <c r="N88" i="1"/>
  <c r="N89" i="1"/>
  <c r="N92" i="1"/>
  <c r="N93" i="1"/>
  <c r="N95" i="1"/>
  <c r="N96" i="1"/>
  <c r="N97" i="1"/>
  <c r="N100" i="1"/>
  <c r="N101" i="1"/>
  <c r="N104" i="1"/>
  <c r="N105" i="1"/>
  <c r="N108" i="1"/>
  <c r="N109" i="1"/>
  <c r="N111" i="1"/>
  <c r="N112" i="1"/>
  <c r="N113" i="1"/>
  <c r="N116" i="1"/>
  <c r="N117" i="1"/>
  <c r="N120" i="1"/>
  <c r="N121" i="1"/>
  <c r="N124" i="1"/>
  <c r="N125" i="1"/>
  <c r="N127" i="1"/>
  <c r="N128" i="1"/>
  <c r="N129" i="1"/>
  <c r="N132" i="1"/>
  <c r="N133" i="1"/>
  <c r="N136" i="1"/>
  <c r="N137" i="1"/>
  <c r="N140" i="1"/>
  <c r="N141" i="1"/>
  <c r="N143" i="1"/>
  <c r="N144" i="1"/>
  <c r="N145" i="1"/>
  <c r="N148" i="1"/>
  <c r="N149" i="1"/>
  <c r="N152" i="1"/>
  <c r="N153" i="1"/>
  <c r="N156" i="1"/>
  <c r="N157" i="1"/>
  <c r="N159" i="1"/>
  <c r="N160" i="1"/>
  <c r="N161" i="1"/>
  <c r="N164" i="1"/>
  <c r="N165" i="1"/>
  <c r="N168" i="1"/>
  <c r="N169" i="1"/>
  <c r="N172" i="1"/>
  <c r="N173" i="1"/>
  <c r="N175" i="1"/>
  <c r="N176" i="1"/>
  <c r="N177" i="1"/>
  <c r="N180" i="1"/>
  <c r="N181" i="1"/>
  <c r="N184" i="1"/>
  <c r="N185" i="1"/>
  <c r="N188" i="1"/>
  <c r="N189" i="1"/>
  <c r="N191" i="1"/>
  <c r="N192" i="1"/>
  <c r="N193" i="1"/>
  <c r="N196" i="1"/>
  <c r="N197" i="1"/>
  <c r="N200" i="1"/>
  <c r="N201" i="1"/>
  <c r="N204" i="1"/>
  <c r="N205" i="1"/>
  <c r="N207" i="1"/>
  <c r="N208" i="1"/>
  <c r="N209" i="1"/>
  <c r="N212" i="1"/>
  <c r="N213" i="1"/>
  <c r="N216" i="1"/>
  <c r="N217" i="1"/>
  <c r="N220" i="1"/>
  <c r="N221" i="1"/>
  <c r="N223" i="1"/>
  <c r="N224" i="1"/>
  <c r="N225" i="1"/>
  <c r="N228" i="1"/>
  <c r="N229" i="1"/>
  <c r="N232" i="1"/>
  <c r="N233" i="1"/>
  <c r="N236" i="1"/>
  <c r="N237" i="1"/>
  <c r="N239" i="1"/>
  <c r="N240" i="1"/>
  <c r="N241" i="1"/>
  <c r="N244" i="1"/>
  <c r="N245" i="1"/>
  <c r="N248" i="1"/>
  <c r="N249" i="1"/>
  <c r="N252" i="1"/>
  <c r="N253" i="1"/>
  <c r="N255" i="1"/>
  <c r="N256" i="1"/>
  <c r="N257" i="1"/>
  <c r="N260" i="1"/>
  <c r="N261" i="1"/>
  <c r="N264" i="1"/>
  <c r="N265" i="1"/>
  <c r="N268" i="1"/>
  <c r="N269" i="1"/>
  <c r="N271" i="1"/>
  <c r="N272" i="1"/>
  <c r="N273" i="1"/>
  <c r="N276" i="1"/>
  <c r="N277" i="1"/>
  <c r="N280" i="1"/>
  <c r="N281" i="1"/>
  <c r="N284" i="1"/>
  <c r="N285" i="1"/>
  <c r="N287" i="1"/>
  <c r="N288" i="1"/>
  <c r="N289" i="1"/>
  <c r="N292" i="1"/>
  <c r="N293" i="1"/>
  <c r="N296" i="1"/>
  <c r="N297" i="1"/>
  <c r="N300" i="1"/>
  <c r="N301" i="1"/>
  <c r="N303" i="1"/>
  <c r="N304" i="1"/>
  <c r="N305" i="1"/>
  <c r="N308" i="1"/>
  <c r="N309" i="1"/>
  <c r="N312" i="1"/>
  <c r="N313" i="1"/>
  <c r="N316" i="1"/>
  <c r="N317" i="1"/>
  <c r="N319" i="1"/>
  <c r="N320" i="1"/>
  <c r="N321" i="1"/>
  <c r="N324" i="1"/>
  <c r="N325" i="1"/>
  <c r="N328" i="1"/>
  <c r="N329" i="1"/>
  <c r="N332" i="1"/>
  <c r="N333" i="1"/>
  <c r="N335" i="1"/>
  <c r="N336" i="1"/>
  <c r="N337" i="1"/>
  <c r="N340" i="1"/>
  <c r="N341" i="1"/>
  <c r="N344" i="1"/>
  <c r="N345" i="1"/>
  <c r="N348" i="1"/>
  <c r="N349" i="1"/>
  <c r="N351" i="1"/>
  <c r="N352" i="1"/>
  <c r="N353" i="1"/>
  <c r="N356" i="1"/>
  <c r="N357" i="1"/>
  <c r="N360" i="1"/>
  <c r="N361" i="1"/>
  <c r="N364" i="1"/>
  <c r="N365" i="1"/>
  <c r="N367" i="1"/>
  <c r="N368" i="1"/>
  <c r="N369" i="1"/>
  <c r="N372" i="1"/>
  <c r="N373" i="1"/>
  <c r="N376" i="1"/>
  <c r="N377" i="1"/>
  <c r="N380" i="1"/>
  <c r="N381" i="1"/>
  <c r="N383" i="1"/>
  <c r="N384" i="1"/>
  <c r="N385" i="1"/>
  <c r="N388" i="1"/>
  <c r="N389" i="1"/>
  <c r="N392" i="1"/>
  <c r="N393" i="1"/>
  <c r="N396" i="1"/>
  <c r="N397" i="1"/>
  <c r="N399" i="1"/>
  <c r="N400" i="1"/>
  <c r="N401" i="1"/>
  <c r="N404" i="1"/>
  <c r="N405" i="1"/>
  <c r="N408" i="1"/>
  <c r="N409" i="1"/>
  <c r="N412" i="1"/>
  <c r="N413" i="1"/>
  <c r="N415" i="1"/>
  <c r="N416" i="1"/>
  <c r="N417" i="1"/>
  <c r="N420" i="1"/>
  <c r="N421" i="1"/>
  <c r="N424" i="1"/>
  <c r="N425" i="1"/>
  <c r="N428" i="1"/>
  <c r="N429" i="1"/>
  <c r="N431" i="1"/>
  <c r="N432" i="1"/>
  <c r="N433" i="1"/>
  <c r="N436" i="1"/>
  <c r="N437" i="1"/>
  <c r="N440" i="1"/>
  <c r="N441" i="1"/>
  <c r="N444" i="1"/>
  <c r="N445" i="1"/>
  <c r="N447" i="1"/>
  <c r="N448" i="1"/>
  <c r="N449" i="1"/>
  <c r="N452" i="1"/>
  <c r="N453" i="1"/>
  <c r="N456" i="1"/>
  <c r="N457" i="1"/>
  <c r="N460" i="1"/>
  <c r="N461" i="1"/>
  <c r="N463" i="1"/>
  <c r="N464" i="1"/>
  <c r="N465" i="1"/>
  <c r="N468" i="1"/>
  <c r="N469" i="1"/>
  <c r="N472" i="1"/>
  <c r="N473" i="1"/>
  <c r="N476" i="1"/>
  <c r="N477" i="1"/>
  <c r="N479" i="1"/>
  <c r="N480" i="1"/>
  <c r="N481" i="1"/>
  <c r="N484" i="1"/>
  <c r="N485" i="1"/>
  <c r="N488" i="1"/>
  <c r="N489" i="1"/>
  <c r="N492" i="1"/>
  <c r="N493" i="1"/>
  <c r="N495" i="1"/>
  <c r="N496" i="1"/>
  <c r="N497" i="1"/>
  <c r="N500" i="1"/>
  <c r="N501" i="1"/>
  <c r="M3" i="1"/>
  <c r="M2" i="1"/>
  <c r="L2" i="1"/>
  <c r="N323" i="1" l="1"/>
  <c r="N307" i="1"/>
  <c r="N259" i="1"/>
  <c r="N243" i="1"/>
  <c r="N211" i="1"/>
  <c r="N179" i="1"/>
  <c r="N147" i="1"/>
  <c r="N115" i="1"/>
  <c r="N83" i="1"/>
  <c r="N51" i="1"/>
  <c r="N19" i="1"/>
  <c r="N343" i="1"/>
  <c r="N279" i="1"/>
  <c r="N231" i="1"/>
  <c r="N199" i="1"/>
  <c r="N167" i="1"/>
  <c r="N135" i="1"/>
  <c r="N103" i="1"/>
  <c r="N71" i="1"/>
  <c r="N39"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5" i="1"/>
  <c r="N6" i="1"/>
</calcChain>
</file>

<file path=xl/sharedStrings.xml><?xml version="1.0" encoding="utf-8"?>
<sst xmlns="http://schemas.openxmlformats.org/spreadsheetml/2006/main" count="3082" uniqueCount="459">
  <si>
    <t>Order Date</t>
  </si>
  <si>
    <t>Year</t>
  </si>
  <si>
    <t>Customer ID</t>
  </si>
  <si>
    <t>Customer Name</t>
  </si>
  <si>
    <t>Product ID</t>
  </si>
  <si>
    <t>Product Name</t>
  </si>
  <si>
    <t>Item Category</t>
  </si>
  <si>
    <t>Region</t>
  </si>
  <si>
    <t>Quantity Sold</t>
  </si>
  <si>
    <t>Unit Price</t>
  </si>
  <si>
    <t>Cost Amount</t>
  </si>
  <si>
    <t>C039</t>
  </si>
  <si>
    <t>Jesse</t>
  </si>
  <si>
    <t>P005</t>
  </si>
  <si>
    <t>USB Drive 5</t>
  </si>
  <si>
    <t>Backpack</t>
  </si>
  <si>
    <t>East</t>
  </si>
  <si>
    <t>C054</t>
  </si>
  <si>
    <t>Sophia</t>
  </si>
  <si>
    <t>P030</t>
  </si>
  <si>
    <t>Desk Lamp 30</t>
  </si>
  <si>
    <t>North</t>
  </si>
  <si>
    <t>C010</t>
  </si>
  <si>
    <t>Faith</t>
  </si>
  <si>
    <t>C011</t>
  </si>
  <si>
    <t>Ralph</t>
  </si>
  <si>
    <t>P042</t>
  </si>
  <si>
    <t>Backpack 42</t>
  </si>
  <si>
    <t>West</t>
  </si>
  <si>
    <t>C027</t>
  </si>
  <si>
    <t>Kevin</t>
  </si>
  <si>
    <t>P007</t>
  </si>
  <si>
    <t>Pen Set 7</t>
  </si>
  <si>
    <t>C046</t>
  </si>
  <si>
    <t>Roy</t>
  </si>
  <si>
    <t>P012</t>
  </si>
  <si>
    <t>Chair 12</t>
  </si>
  <si>
    <t>C065</t>
  </si>
  <si>
    <t>Donald</t>
  </si>
  <si>
    <t>South</t>
  </si>
  <si>
    <t>C057</t>
  </si>
  <si>
    <t>Emily</t>
  </si>
  <si>
    <t>P038</t>
  </si>
  <si>
    <t>Charger 38</t>
  </si>
  <si>
    <t>C073</t>
  </si>
  <si>
    <t>Piper</t>
  </si>
  <si>
    <t>Noah</t>
  </si>
  <si>
    <t>C013</t>
  </si>
  <si>
    <t>Harper</t>
  </si>
  <si>
    <t>Allison</t>
  </si>
  <si>
    <t>C025</t>
  </si>
  <si>
    <t>Maya</t>
  </si>
  <si>
    <t>Jerry</t>
  </si>
  <si>
    <t>C003</t>
  </si>
  <si>
    <t>Eleanor</t>
  </si>
  <si>
    <t>C052</t>
  </si>
  <si>
    <t>Louis</t>
  </si>
  <si>
    <t>C087</t>
  </si>
  <si>
    <t>Walter</t>
  </si>
  <si>
    <t>C081</t>
  </si>
  <si>
    <t>Brielle</t>
  </si>
  <si>
    <t>C099</t>
  </si>
  <si>
    <t>Mia</t>
  </si>
  <si>
    <t>Michael</t>
  </si>
  <si>
    <t>P037</t>
  </si>
  <si>
    <t>Charger 37</t>
  </si>
  <si>
    <t>C062</t>
  </si>
  <si>
    <t>Rose</t>
  </si>
  <si>
    <t>C097</t>
  </si>
  <si>
    <t>Layla</t>
  </si>
  <si>
    <t>C028</t>
  </si>
  <si>
    <t>C056</t>
  </si>
  <si>
    <t>Eliza</t>
  </si>
  <si>
    <t>Madeline</t>
  </si>
  <si>
    <t>C035</t>
  </si>
  <si>
    <t>Zoe</t>
  </si>
  <si>
    <t>C007</t>
  </si>
  <si>
    <t>Maria</t>
  </si>
  <si>
    <t>C006</t>
  </si>
  <si>
    <t>Joshua</t>
  </si>
  <si>
    <t>C024</t>
  </si>
  <si>
    <t>Lillian</t>
  </si>
  <si>
    <t>C032</t>
  </si>
  <si>
    <t>Dylan</t>
  </si>
  <si>
    <t>C042</t>
  </si>
  <si>
    <t>Bobby</t>
  </si>
  <si>
    <t>C092</t>
  </si>
  <si>
    <t>Bradley</t>
  </si>
  <si>
    <t>Jeremy</t>
  </si>
  <si>
    <t>C051</t>
  </si>
  <si>
    <t>Madison</t>
  </si>
  <si>
    <t>Isabella</t>
  </si>
  <si>
    <t>C066</t>
  </si>
  <si>
    <t>Charles</t>
  </si>
  <si>
    <t>C033</t>
  </si>
  <si>
    <t>William</t>
  </si>
  <si>
    <t>C005</t>
  </si>
  <si>
    <t>Mila</t>
  </si>
  <si>
    <t>C040</t>
  </si>
  <si>
    <t>Arthur</t>
  </si>
  <si>
    <t>C080</t>
  </si>
  <si>
    <t>Ashley</t>
  </si>
  <si>
    <t>C090</t>
  </si>
  <si>
    <t>Elizabeth</t>
  </si>
  <si>
    <t>C061</t>
  </si>
  <si>
    <t>Riley</t>
  </si>
  <si>
    <t>C045</t>
  </si>
  <si>
    <t>Jeffrey</t>
  </si>
  <si>
    <t>C077</t>
  </si>
  <si>
    <t>Sofia</t>
  </si>
  <si>
    <t>C068</t>
  </si>
  <si>
    <t>Kennedy</t>
  </si>
  <si>
    <t>C082</t>
  </si>
  <si>
    <t>Savannah</t>
  </si>
  <si>
    <t>Henry</t>
  </si>
  <si>
    <t>C083</t>
  </si>
  <si>
    <t>Khloe</t>
  </si>
  <si>
    <t>Russell</t>
  </si>
  <si>
    <t>P024</t>
  </si>
  <si>
    <t>USB Drive 24</t>
  </si>
  <si>
    <t>Chair</t>
  </si>
  <si>
    <t>C030</t>
  </si>
  <si>
    <t>Christopher</t>
  </si>
  <si>
    <t>P033</t>
  </si>
  <si>
    <t>Chair 33</t>
  </si>
  <si>
    <t>C093</t>
  </si>
  <si>
    <t>Alan</t>
  </si>
  <si>
    <t>P028</t>
  </si>
  <si>
    <t>Notebook 28</t>
  </si>
  <si>
    <t>Lawrence</t>
  </si>
  <si>
    <t>P043</t>
  </si>
  <si>
    <t>USB Drive 43</t>
  </si>
  <si>
    <t>C041</t>
  </si>
  <si>
    <t>P001</t>
  </si>
  <si>
    <t>Desk Lamp 1</t>
  </si>
  <si>
    <t>Emery</t>
  </si>
  <si>
    <t>P041</t>
  </si>
  <si>
    <t>Desk Lamp 41</t>
  </si>
  <si>
    <t>C078</t>
  </si>
  <si>
    <t>P021</t>
  </si>
  <si>
    <t>Notebook 21</t>
  </si>
  <si>
    <t>P010</t>
  </si>
  <si>
    <t>Notebook 10</t>
  </si>
  <si>
    <t>C074</t>
  </si>
  <si>
    <t>Brian</t>
  </si>
  <si>
    <t>P050</t>
  </si>
  <si>
    <t>Backpack 50</t>
  </si>
  <si>
    <t>Austin</t>
  </si>
  <si>
    <t>C022</t>
  </si>
  <si>
    <t>Arya</t>
  </si>
  <si>
    <t>C036</t>
  </si>
  <si>
    <t>C071</t>
  </si>
  <si>
    <t>Chloe</t>
  </si>
  <si>
    <t>P048</t>
  </si>
  <si>
    <t>Desk Lamp 48</t>
  </si>
  <si>
    <t>P032</t>
  </si>
  <si>
    <t>USB Drive 32</t>
  </si>
  <si>
    <t>Justin</t>
  </si>
  <si>
    <t>C050</t>
  </si>
  <si>
    <t>Harold</t>
  </si>
  <si>
    <t>Benjamin</t>
  </si>
  <si>
    <t>C063</t>
  </si>
  <si>
    <t>Randy</t>
  </si>
  <si>
    <t>C038</t>
  </si>
  <si>
    <t>Aubrey</t>
  </si>
  <si>
    <t>C055</t>
  </si>
  <si>
    <t>Dennis</t>
  </si>
  <si>
    <t>P047</t>
  </si>
  <si>
    <t>Pen Set 47</t>
  </si>
  <si>
    <t>C002</t>
  </si>
  <si>
    <t>Olivia</t>
  </si>
  <si>
    <t>C023</t>
  </si>
  <si>
    <t>Lucy</t>
  </si>
  <si>
    <t>Delilah</t>
  </si>
  <si>
    <t>C088</t>
  </si>
  <si>
    <t>Peter</t>
  </si>
  <si>
    <t>Emilia</t>
  </si>
  <si>
    <t>C001</t>
  </si>
  <si>
    <t>Vivian</t>
  </si>
  <si>
    <t>Hazel</t>
  </si>
  <si>
    <t>Nova</t>
  </si>
  <si>
    <t>Vincent</t>
  </si>
  <si>
    <t>Jonathan</t>
  </si>
  <si>
    <t>C076</t>
  </si>
  <si>
    <t>Jason</t>
  </si>
  <si>
    <t>Everly</t>
  </si>
  <si>
    <t>C047</t>
  </si>
  <si>
    <t>Thomas</t>
  </si>
  <si>
    <t>C058</t>
  </si>
  <si>
    <t>Kyle</t>
  </si>
  <si>
    <t>C044</t>
  </si>
  <si>
    <t>Aaliyah</t>
  </si>
  <si>
    <t>C075</t>
  </si>
  <si>
    <t>C049</t>
  </si>
  <si>
    <t>Claire</t>
  </si>
  <si>
    <t>C072</t>
  </si>
  <si>
    <t>Ariana</t>
  </si>
  <si>
    <t>Nathan</t>
  </si>
  <si>
    <t>C016</t>
  </si>
  <si>
    <t>Christian</t>
  </si>
  <si>
    <t>Madelyn</t>
  </si>
  <si>
    <t>C031</t>
  </si>
  <si>
    <t>Bruce</t>
  </si>
  <si>
    <t>Adeline</t>
  </si>
  <si>
    <t>C070</t>
  </si>
  <si>
    <t>Eugene</t>
  </si>
  <si>
    <t>C089</t>
  </si>
  <si>
    <t>Nicholas</t>
  </si>
  <si>
    <t>Kenneth</t>
  </si>
  <si>
    <t>Leilani</t>
  </si>
  <si>
    <t>Bryan</t>
  </si>
  <si>
    <t>Albert</t>
  </si>
  <si>
    <t>C034</t>
  </si>
  <si>
    <t>Willow</t>
  </si>
  <si>
    <t>C053</t>
  </si>
  <si>
    <t>Charlotte</t>
  </si>
  <si>
    <t>Eric</t>
  </si>
  <si>
    <t>Zoey</t>
  </si>
  <si>
    <t>Douglas</t>
  </si>
  <si>
    <t>Stella</t>
  </si>
  <si>
    <t>John</t>
  </si>
  <si>
    <t>Bella</t>
  </si>
  <si>
    <t>Samantha</t>
  </si>
  <si>
    <t>C098</t>
  </si>
  <si>
    <t>Cora</t>
  </si>
  <si>
    <t>Alaia</t>
  </si>
  <si>
    <t>C029</t>
  </si>
  <si>
    <t>Anthony</t>
  </si>
  <si>
    <t>Violet</t>
  </si>
  <si>
    <t>David</t>
  </si>
  <si>
    <t>C043</t>
  </si>
  <si>
    <t>Serenity</t>
  </si>
  <si>
    <t>Quinn</t>
  </si>
  <si>
    <t>Hailey</t>
  </si>
  <si>
    <t>C021</t>
  </si>
  <si>
    <t>Andrea</t>
  </si>
  <si>
    <t>C048</t>
  </si>
  <si>
    <t>C067</t>
  </si>
  <si>
    <t>Gabriel</t>
  </si>
  <si>
    <t>Melody</t>
  </si>
  <si>
    <t>Emma</t>
  </si>
  <si>
    <t>Aria</t>
  </si>
  <si>
    <t>C015</t>
  </si>
  <si>
    <t>Carl</t>
  </si>
  <si>
    <t>Adam</t>
  </si>
  <si>
    <t>Keith</t>
  </si>
  <si>
    <t>Anna</t>
  </si>
  <si>
    <t>C019</t>
  </si>
  <si>
    <t>C096</t>
  </si>
  <si>
    <t>Addison</t>
  </si>
  <si>
    <t>P015</t>
  </si>
  <si>
    <t>Notebook 15</t>
  </si>
  <si>
    <t>Charger</t>
  </si>
  <si>
    <t>C020</t>
  </si>
  <si>
    <t>P025</t>
  </si>
  <si>
    <t>Pen Set 25</t>
  </si>
  <si>
    <t>C084</t>
  </si>
  <si>
    <t>Raelynn</t>
  </si>
  <si>
    <t>P026</t>
  </si>
  <si>
    <t>Charger 26</t>
  </si>
  <si>
    <t>C094</t>
  </si>
  <si>
    <t>Charlie</t>
  </si>
  <si>
    <t>C095</t>
  </si>
  <si>
    <t>Grace</t>
  </si>
  <si>
    <t>Zachary</t>
  </si>
  <si>
    <t>P003</t>
  </si>
  <si>
    <t>Pen Set 3</t>
  </si>
  <si>
    <t>Ava</t>
  </si>
  <si>
    <t>Josephine</t>
  </si>
  <si>
    <t>P023</t>
  </si>
  <si>
    <t>USB Drive 23</t>
  </si>
  <si>
    <t>C014</t>
  </si>
  <si>
    <t>Natalie</t>
  </si>
  <si>
    <t>C085</t>
  </si>
  <si>
    <t>Ximena</t>
  </si>
  <si>
    <t>Ivy</t>
  </si>
  <si>
    <t>C017</t>
  </si>
  <si>
    <t>James</t>
  </si>
  <si>
    <t>Ellie</t>
  </si>
  <si>
    <t>C004</t>
  </si>
  <si>
    <t>Julia</t>
  </si>
  <si>
    <t>Kinsley</t>
  </si>
  <si>
    <t>Sarah</t>
  </si>
  <si>
    <t>Paisley</t>
  </si>
  <si>
    <t>Stephen</t>
  </si>
  <si>
    <t>Jacob</t>
  </si>
  <si>
    <t>P011</t>
  </si>
  <si>
    <t>Desk Lamp 11</t>
  </si>
  <si>
    <t>Desk Lamp</t>
  </si>
  <si>
    <t>P031</t>
  </si>
  <si>
    <t>Backpack 31</t>
  </si>
  <si>
    <t>P016</t>
  </si>
  <si>
    <t>Backpack 16</t>
  </si>
  <si>
    <t>George</t>
  </si>
  <si>
    <t>P029</t>
  </si>
  <si>
    <t>Notebook 29</t>
  </si>
  <si>
    <t>Nora</t>
  </si>
  <si>
    <t>C018</t>
  </si>
  <si>
    <t>C069</t>
  </si>
  <si>
    <t>Paul</t>
  </si>
  <si>
    <t>C026</t>
  </si>
  <si>
    <t>Raymond</t>
  </si>
  <si>
    <t>Joseph</t>
  </si>
  <si>
    <t>C060</t>
  </si>
  <si>
    <t>Alice</t>
  </si>
  <si>
    <t>Jack</t>
  </si>
  <si>
    <t>Audrey</t>
  </si>
  <si>
    <t>Robert</t>
  </si>
  <si>
    <t>Clara</t>
  </si>
  <si>
    <t>P045</t>
  </si>
  <si>
    <t>Chair 45</t>
  </si>
  <si>
    <t>Notebook</t>
  </si>
  <si>
    <t>Aurora</t>
  </si>
  <si>
    <t>P013</t>
  </si>
  <si>
    <t>USB Drive 13</t>
  </si>
  <si>
    <t>Adalynn</t>
  </si>
  <si>
    <t>P027</t>
  </si>
  <si>
    <t>Charger 27</t>
  </si>
  <si>
    <t>Scott</t>
  </si>
  <si>
    <t>P044</t>
  </si>
  <si>
    <t>Desk Lamp 44</t>
  </si>
  <si>
    <t>P034</t>
  </si>
  <si>
    <t>USB Drive 34</t>
  </si>
  <si>
    <t>P039</t>
  </si>
  <si>
    <t>Notebook 39</t>
  </si>
  <si>
    <t>C037</t>
  </si>
  <si>
    <t>Joe</t>
  </si>
  <si>
    <t>P019</t>
  </si>
  <si>
    <t>Backpack 19</t>
  </si>
  <si>
    <t>C064</t>
  </si>
  <si>
    <t>Ronald</t>
  </si>
  <si>
    <t>C079</t>
  </si>
  <si>
    <t>Ryan</t>
  </si>
  <si>
    <t>Skylar</t>
  </si>
  <si>
    <t>Tyler</t>
  </si>
  <si>
    <t>C008</t>
  </si>
  <si>
    <t>Mackenzie</t>
  </si>
  <si>
    <t>Iris</t>
  </si>
  <si>
    <t>P008</t>
  </si>
  <si>
    <t>Backpack 8</t>
  </si>
  <si>
    <t>Edward</t>
  </si>
  <si>
    <t>Hadley</t>
  </si>
  <si>
    <t>Gary</t>
  </si>
  <si>
    <t>Steven</t>
  </si>
  <si>
    <t>Philip</t>
  </si>
  <si>
    <t>Rylee</t>
  </si>
  <si>
    <t>Gianna</t>
  </si>
  <si>
    <t>Brooklyn</t>
  </si>
  <si>
    <t>C086</t>
  </si>
  <si>
    <t>Sean</t>
  </si>
  <si>
    <t>Larry</t>
  </si>
  <si>
    <t>Aaron</t>
  </si>
  <si>
    <t>Eva</t>
  </si>
  <si>
    <t>C091</t>
  </si>
  <si>
    <t>C012</t>
  </si>
  <si>
    <t>P018</t>
  </si>
  <si>
    <t>USB Drive 18</t>
  </si>
  <si>
    <t>Pen Set</t>
  </si>
  <si>
    <t>P009</t>
  </si>
  <si>
    <t>Charger 9</t>
  </si>
  <si>
    <t>P022</t>
  </si>
  <si>
    <t>USB Drive 22</t>
  </si>
  <si>
    <t>Matthew</t>
  </si>
  <si>
    <t>P004</t>
  </si>
  <si>
    <t>Charger 4</t>
  </si>
  <si>
    <t>Autumn</t>
  </si>
  <si>
    <t>P036</t>
  </si>
  <si>
    <t>Chair 36</t>
  </si>
  <si>
    <t>Isla</t>
  </si>
  <si>
    <t>Gabriella</t>
  </si>
  <si>
    <t>Daniel</t>
  </si>
  <si>
    <t>Billy</t>
  </si>
  <si>
    <t>C009</t>
  </si>
  <si>
    <t>Lily</t>
  </si>
  <si>
    <t>Alexander</t>
  </si>
  <si>
    <t>P002</t>
  </si>
  <si>
    <t>Desk Lamp 2</t>
  </si>
  <si>
    <t>USB Drive</t>
  </si>
  <si>
    <t>Naomi</t>
  </si>
  <si>
    <t>P017</t>
  </si>
  <si>
    <t>Pen Set 17</t>
  </si>
  <si>
    <t>Gerald</t>
  </si>
  <si>
    <t>P049</t>
  </si>
  <si>
    <t>USB Drive 49</t>
  </si>
  <si>
    <t>Amelia</t>
  </si>
  <si>
    <t>P014</t>
  </si>
  <si>
    <t>Backpack 14</t>
  </si>
  <si>
    <t>P046</t>
  </si>
  <si>
    <t>Desk Lamp 46</t>
  </si>
  <si>
    <t>Jade</t>
  </si>
  <si>
    <t>P040</t>
  </si>
  <si>
    <t>Backpack 40</t>
  </si>
  <si>
    <t>Evelyn</t>
  </si>
  <si>
    <t>P020</t>
  </si>
  <si>
    <t>Desk Lamp 20</t>
  </si>
  <si>
    <t>P006</t>
  </si>
  <si>
    <t>Chair 6</t>
  </si>
  <si>
    <t>Johnny</t>
  </si>
  <si>
    <t>P035</t>
  </si>
  <si>
    <t>Charger 35</t>
  </si>
  <si>
    <t>Liliana</t>
  </si>
  <si>
    <t>Jose</t>
  </si>
  <si>
    <t>Willie</t>
  </si>
  <si>
    <t>Avery</t>
  </si>
  <si>
    <t>Luna</t>
  </si>
  <si>
    <t>Scarlett</t>
  </si>
  <si>
    <t>Everleigh</t>
  </si>
  <si>
    <t>Nevaeh</t>
  </si>
  <si>
    <t>Valentina</t>
  </si>
  <si>
    <t>Gregory</t>
  </si>
  <si>
    <t>Sophie</t>
  </si>
  <si>
    <t>Terry</t>
  </si>
  <si>
    <t>Brandon</t>
  </si>
  <si>
    <t>C100</t>
  </si>
  <si>
    <t>Camila</t>
  </si>
  <si>
    <t>Abigail</t>
  </si>
  <si>
    <t>Hannah</t>
  </si>
  <si>
    <t>Lydia</t>
  </si>
  <si>
    <t>Penelope</t>
  </si>
  <si>
    <t>Frank</t>
  </si>
  <si>
    <t>Genesis</t>
  </si>
  <si>
    <t>Ethan</t>
  </si>
  <si>
    <t>Ella</t>
  </si>
  <si>
    <t>Logan</t>
  </si>
  <si>
    <t>Mark</t>
  </si>
  <si>
    <t>C059</t>
  </si>
  <si>
    <t>Natalia</t>
  </si>
  <si>
    <t>Andrew</t>
  </si>
  <si>
    <t>sales</t>
  </si>
  <si>
    <t>sales ammount</t>
  </si>
  <si>
    <t>profit</t>
  </si>
  <si>
    <t>Row Labels</t>
  </si>
  <si>
    <t>Grand Total</t>
  </si>
  <si>
    <t>Sum of sales ammount</t>
  </si>
  <si>
    <t>Sum of profit</t>
  </si>
  <si>
    <t>Sum of Quantity Sold</t>
  </si>
  <si>
    <t>Column Labels</t>
  </si>
  <si>
    <t>High</t>
  </si>
  <si>
    <t>Low</t>
  </si>
  <si>
    <t>Medium</t>
  </si>
  <si>
    <t>Jan</t>
  </si>
  <si>
    <t>Feb</t>
  </si>
  <si>
    <t>Mar</t>
  </si>
  <si>
    <t>Apr</t>
  </si>
  <si>
    <t>May</t>
  </si>
  <si>
    <t>Jun</t>
  </si>
  <si>
    <t>Jul</t>
  </si>
  <si>
    <t>Aug</t>
  </si>
  <si>
    <t>Sep</t>
  </si>
  <si>
    <t>Oct</t>
  </si>
  <si>
    <t>Nov</t>
  </si>
  <si>
    <t>Dec</t>
  </si>
  <si>
    <t>SALES  PERFORMANCE</t>
  </si>
  <si>
    <t>Regional Performance</t>
  </si>
  <si>
    <t>Category Breakdown</t>
  </si>
  <si>
    <t>Top Customers Summary</t>
  </si>
  <si>
    <t>Sales Tier Matrix</t>
  </si>
  <si>
    <t>Monthly Sales Trend</t>
  </si>
  <si>
    <t>KPI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</si>
</sst>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sz val="1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xf numFmtId="14" fontId="0" fillId="3" borderId="1" xfId="0" applyNumberFormat="1" applyFill="1" applyBorder="1"/>
    <xf numFmtId="0" fontId="0" fillId="3" borderId="1" xfId="0" applyFill="1" applyBorder="1"/>
    <xf numFmtId="14" fontId="0" fillId="0" borderId="1" xfId="0" applyNumberFormat="1" applyBorder="1"/>
    <xf numFmtId="0" fontId="0" fillId="0" borderId="1" xfId="0" applyBorder="1"/>
    <xf numFmtId="0" fontId="1" fillId="2" borderId="0" xfId="0" applyFont="1" applyFill="1" applyBorder="1"/>
    <xf numFmtId="0" fontId="0" fillId="0" borderId="1" xfId="0" applyFill="1" applyBorder="1"/>
    <xf numFmtId="0" fontId="0" fillId="0" borderId="0" xfId="0" pivotButton="1"/>
    <xf numFmtId="0" fontId="0" fillId="0" borderId="0" xfId="0" applyAlignment="1">
      <alignment horizontal="left"/>
    </xf>
    <xf numFmtId="164" fontId="0" fillId="0" borderId="0" xfId="0" applyNumberFormat="1"/>
    <xf numFmtId="4" fontId="0" fillId="0" borderId="0" xfId="0" applyNumberFormat="1"/>
    <xf numFmtId="0" fontId="0" fillId="4" borderId="0" xfId="0" applyFill="1" applyAlignment="1">
      <alignment horizontal="right"/>
    </xf>
    <xf numFmtId="0" fontId="0" fillId="4" borderId="0" xfId="0" applyFill="1"/>
    <xf numFmtId="0" fontId="0" fillId="4" borderId="0" xfId="0" applyFill="1" applyAlignment="1">
      <alignment horizontal="center"/>
    </xf>
    <xf numFmtId="0" fontId="2" fillId="4" borderId="0" xfId="0" applyFont="1" applyFill="1" applyAlignment="1">
      <alignment horizontal="center"/>
    </xf>
    <xf numFmtId="0" fontId="3" fillId="4" borderId="0" xfId="0" applyFont="1" applyFill="1" applyAlignment="1">
      <alignment horizontal="center"/>
    </xf>
    <xf numFmtId="0" fontId="4" fillId="4" borderId="0" xfId="0" applyFont="1" applyFill="1" applyAlignment="1">
      <alignment horizontal="right"/>
    </xf>
    <xf numFmtId="0" fontId="5" fillId="4" borderId="0" xfId="0" applyFont="1" applyFill="1" applyAlignment="1">
      <alignment horizontal="center"/>
    </xf>
  </cellXfs>
  <cellStyles count="1">
    <cellStyle name="Normal" xfId="0" builtinId="0"/>
  </cellStyles>
  <dxfs count="14">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project.xlsx]pivot table!Regional 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 &amp; Profit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sales ammount</c:v>
                </c:pt>
              </c:strCache>
            </c:strRef>
          </c:tx>
          <c:spPr>
            <a:solidFill>
              <a:schemeClr val="tx1"/>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 #,##0.00</c:formatCode>
                <c:ptCount val="4"/>
                <c:pt idx="0">
                  <c:v>406020.76999999984</c:v>
                </c:pt>
                <c:pt idx="1">
                  <c:v>335657.05</c:v>
                </c:pt>
                <c:pt idx="2">
                  <c:v>334589.08999999997</c:v>
                </c:pt>
                <c:pt idx="3">
                  <c:v>367091.06000000017</c:v>
                </c:pt>
              </c:numCache>
            </c:numRef>
          </c:val>
          <c:extLst>
            <c:ext xmlns:c16="http://schemas.microsoft.com/office/drawing/2014/chart" uri="{C3380CC4-5D6E-409C-BE32-E72D297353CC}">
              <c16:uniqueId val="{00000000-6B3D-402F-A1C7-AF34A42B3EEA}"/>
            </c:ext>
          </c:extLst>
        </c:ser>
        <c:ser>
          <c:idx val="1"/>
          <c:order val="1"/>
          <c:tx>
            <c:strRef>
              <c:f>'pivot table'!$C$3</c:f>
              <c:strCache>
                <c:ptCount val="1"/>
                <c:pt idx="0">
                  <c:v>Sum of profit</c:v>
                </c:pt>
              </c:strCache>
            </c:strRef>
          </c:tx>
          <c:spPr>
            <a:solidFill>
              <a:schemeClr val="dk1">
                <a:tint val="55000"/>
              </a:schemeClr>
            </a:solidFill>
            <a:ln>
              <a:noFill/>
            </a:ln>
            <a:effectLst/>
          </c:spPr>
          <c:invertIfNegative val="0"/>
          <c:cat>
            <c:strRef>
              <c:f>'pivot table'!$A$4:$A$8</c:f>
              <c:strCache>
                <c:ptCount val="4"/>
                <c:pt idx="0">
                  <c:v>East</c:v>
                </c:pt>
                <c:pt idx="1">
                  <c:v>North</c:v>
                </c:pt>
                <c:pt idx="2">
                  <c:v>South</c:v>
                </c:pt>
                <c:pt idx="3">
                  <c:v>West</c:v>
                </c:pt>
              </c:strCache>
            </c:strRef>
          </c:cat>
          <c:val>
            <c:numRef>
              <c:f>'pivot table'!$C$4:$C$8</c:f>
              <c:numCache>
                <c:formatCode>"₹"\ #,##0.00</c:formatCode>
                <c:ptCount val="4"/>
                <c:pt idx="0">
                  <c:v>135447.96000000002</c:v>
                </c:pt>
                <c:pt idx="1">
                  <c:v>104478.31000000001</c:v>
                </c:pt>
                <c:pt idx="2">
                  <c:v>113438.9</c:v>
                </c:pt>
                <c:pt idx="3">
                  <c:v>122527.46</c:v>
                </c:pt>
              </c:numCache>
            </c:numRef>
          </c:val>
          <c:extLst>
            <c:ext xmlns:c16="http://schemas.microsoft.com/office/drawing/2014/chart" uri="{C3380CC4-5D6E-409C-BE32-E72D297353CC}">
              <c16:uniqueId val="{00000001-6B3D-402F-A1C7-AF34A42B3EEA}"/>
            </c:ext>
          </c:extLst>
        </c:ser>
        <c:dLbls>
          <c:showLegendKey val="0"/>
          <c:showVal val="0"/>
          <c:showCatName val="0"/>
          <c:showSerName val="0"/>
          <c:showPercent val="0"/>
          <c:showBubbleSize val="0"/>
        </c:dLbls>
        <c:gapWidth val="219"/>
        <c:overlap val="-27"/>
        <c:axId val="583644608"/>
        <c:axId val="570465904"/>
      </c:barChart>
      <c:catAx>
        <c:axId val="5836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65904"/>
        <c:crosses val="autoZero"/>
        <c:auto val="1"/>
        <c:lblAlgn val="ctr"/>
        <c:lblOffset val="100"/>
        <c:noMultiLvlLbl val="0"/>
      </c:catAx>
      <c:valAx>
        <c:axId val="570465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Quantity &amp; Sales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pivotFmt>
    </c:pivotFmts>
    <c:plotArea>
      <c:layout/>
      <c:barChart>
        <c:barDir val="col"/>
        <c:grouping val="clustered"/>
        <c:varyColors val="0"/>
        <c:ser>
          <c:idx val="0"/>
          <c:order val="0"/>
          <c:tx>
            <c:strRef>
              <c:f>'pivot table'!$F$3</c:f>
              <c:strCache>
                <c:ptCount val="1"/>
                <c:pt idx="0">
                  <c:v>Sum of Quantity Sold</c:v>
                </c:pt>
              </c:strCache>
            </c:strRef>
          </c:tx>
          <c:spPr>
            <a:solidFill>
              <a:schemeClr val="bg2">
                <a:lumMod val="90000"/>
              </a:schemeClr>
            </a:solidFill>
            <a:ln>
              <a:noFill/>
            </a:ln>
            <a:effectLst/>
          </c:spPr>
          <c:invertIfNegative val="0"/>
          <c:cat>
            <c:strRef>
              <c:f>'pivot table'!$E$4:$E$11</c:f>
              <c:strCache>
                <c:ptCount val="7"/>
                <c:pt idx="0">
                  <c:v>Backpack</c:v>
                </c:pt>
                <c:pt idx="1">
                  <c:v>Chair</c:v>
                </c:pt>
                <c:pt idx="2">
                  <c:v>Charger</c:v>
                </c:pt>
                <c:pt idx="3">
                  <c:v>Desk Lamp</c:v>
                </c:pt>
                <c:pt idx="4">
                  <c:v>Notebook</c:v>
                </c:pt>
                <c:pt idx="5">
                  <c:v>Pen Set</c:v>
                </c:pt>
                <c:pt idx="6">
                  <c:v>USB Drive</c:v>
                </c:pt>
              </c:strCache>
            </c:strRef>
          </c:cat>
          <c:val>
            <c:numRef>
              <c:f>'pivot table'!$F$4:$F$11</c:f>
              <c:numCache>
                <c:formatCode>#,##0.00</c:formatCode>
                <c:ptCount val="7"/>
                <c:pt idx="0">
                  <c:v>789</c:v>
                </c:pt>
                <c:pt idx="1">
                  <c:v>1326</c:v>
                </c:pt>
                <c:pt idx="2">
                  <c:v>510</c:v>
                </c:pt>
                <c:pt idx="3">
                  <c:v>324</c:v>
                </c:pt>
                <c:pt idx="4">
                  <c:v>931</c:v>
                </c:pt>
                <c:pt idx="5">
                  <c:v>418</c:v>
                </c:pt>
                <c:pt idx="6">
                  <c:v>1016</c:v>
                </c:pt>
              </c:numCache>
            </c:numRef>
          </c:val>
          <c:extLst>
            <c:ext xmlns:c16="http://schemas.microsoft.com/office/drawing/2014/chart" uri="{C3380CC4-5D6E-409C-BE32-E72D297353CC}">
              <c16:uniqueId val="{00000000-D158-49F1-A5B0-70DD6DF6415E}"/>
            </c:ext>
          </c:extLst>
        </c:ser>
        <c:ser>
          <c:idx val="1"/>
          <c:order val="1"/>
          <c:tx>
            <c:strRef>
              <c:f>'pivot table'!$G$3</c:f>
              <c:strCache>
                <c:ptCount val="1"/>
                <c:pt idx="0">
                  <c:v>Sum of sales ammount</c:v>
                </c:pt>
              </c:strCache>
            </c:strRef>
          </c:tx>
          <c:spPr>
            <a:solidFill>
              <a:schemeClr val="tx1"/>
            </a:solidFill>
            <a:ln>
              <a:noFill/>
            </a:ln>
            <a:effectLst/>
          </c:spPr>
          <c:invertIfNegative val="0"/>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D158-49F1-A5B0-70DD6DF6415E}"/>
              </c:ext>
            </c:extLst>
          </c:dPt>
          <c:cat>
            <c:strRef>
              <c:f>'pivot table'!$E$4:$E$11</c:f>
              <c:strCache>
                <c:ptCount val="7"/>
                <c:pt idx="0">
                  <c:v>Backpack</c:v>
                </c:pt>
                <c:pt idx="1">
                  <c:v>Chair</c:v>
                </c:pt>
                <c:pt idx="2">
                  <c:v>Charger</c:v>
                </c:pt>
                <c:pt idx="3">
                  <c:v>Desk Lamp</c:v>
                </c:pt>
                <c:pt idx="4">
                  <c:v>Notebook</c:v>
                </c:pt>
                <c:pt idx="5">
                  <c:v>Pen Set</c:v>
                </c:pt>
                <c:pt idx="6">
                  <c:v>USB Drive</c:v>
                </c:pt>
              </c:strCache>
            </c:strRef>
          </c:cat>
          <c:val>
            <c:numRef>
              <c:f>'pivot table'!$G$4:$G$11</c:f>
              <c:numCache>
                <c:formatCode>"₹"\ #,##0.00</c:formatCode>
                <c:ptCount val="7"/>
                <c:pt idx="0">
                  <c:v>230364.65000000005</c:v>
                </c:pt>
                <c:pt idx="1">
                  <c:v>345729.67999999982</c:v>
                </c:pt>
                <c:pt idx="2">
                  <c:v>146737.35</c:v>
                </c:pt>
                <c:pt idx="3">
                  <c:v>78688.52</c:v>
                </c:pt>
                <c:pt idx="4">
                  <c:v>274219.75</c:v>
                </c:pt>
                <c:pt idx="5">
                  <c:v>119907.81</c:v>
                </c:pt>
                <c:pt idx="6">
                  <c:v>247710.20999999993</c:v>
                </c:pt>
              </c:numCache>
            </c:numRef>
          </c:val>
          <c:extLst>
            <c:ext xmlns:c16="http://schemas.microsoft.com/office/drawing/2014/chart" uri="{C3380CC4-5D6E-409C-BE32-E72D297353CC}">
              <c16:uniqueId val="{00000001-D158-49F1-A5B0-70DD6DF6415E}"/>
            </c:ext>
          </c:extLst>
        </c:ser>
        <c:dLbls>
          <c:showLegendKey val="0"/>
          <c:showVal val="0"/>
          <c:showCatName val="0"/>
          <c:showSerName val="0"/>
          <c:showPercent val="0"/>
          <c:showBubbleSize val="0"/>
        </c:dLbls>
        <c:gapWidth val="219"/>
        <c:overlap val="-27"/>
        <c:axId val="1074738208"/>
        <c:axId val="11710768"/>
      </c:barChart>
      <c:catAx>
        <c:axId val="10747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768"/>
        <c:crosses val="autoZero"/>
        <c:auto val="1"/>
        <c:lblAlgn val="ctr"/>
        <c:lblOffset val="100"/>
        <c:noMultiLvlLbl val="0"/>
      </c:catAx>
      <c:valAx>
        <c:axId val="11710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3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Customers Revenue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Sum of sales ammount</c:v>
                </c:pt>
              </c:strCache>
            </c:strRef>
          </c:tx>
          <c:spPr>
            <a:solidFill>
              <a:schemeClr val="tx1"/>
            </a:solidFill>
            <a:ln>
              <a:noFill/>
            </a:ln>
            <a:effectLst/>
          </c:spPr>
          <c:invertIfNegative val="0"/>
          <c:cat>
            <c:strRef>
              <c:f>'pivot table'!$I$4:$I$14</c:f>
              <c:strCache>
                <c:ptCount val="10"/>
                <c:pt idx="0">
                  <c:v>Alaia</c:v>
                </c:pt>
                <c:pt idx="1">
                  <c:v>Ella</c:v>
                </c:pt>
                <c:pt idx="2">
                  <c:v>Everly</c:v>
                </c:pt>
                <c:pt idx="3">
                  <c:v>Harold</c:v>
                </c:pt>
                <c:pt idx="4">
                  <c:v>Harper</c:v>
                </c:pt>
                <c:pt idx="5">
                  <c:v>Jonathan</c:v>
                </c:pt>
                <c:pt idx="6">
                  <c:v>Maria</c:v>
                </c:pt>
                <c:pt idx="7">
                  <c:v>Raymond</c:v>
                </c:pt>
                <c:pt idx="8">
                  <c:v>Rose</c:v>
                </c:pt>
                <c:pt idx="9">
                  <c:v>Vivian</c:v>
                </c:pt>
              </c:strCache>
            </c:strRef>
          </c:cat>
          <c:val>
            <c:numRef>
              <c:f>'pivot table'!$J$4:$J$14</c:f>
              <c:numCache>
                <c:formatCode>"₹"\ #,##0.00</c:formatCode>
                <c:ptCount val="10"/>
                <c:pt idx="0">
                  <c:v>25322.05</c:v>
                </c:pt>
                <c:pt idx="1">
                  <c:v>18435.96</c:v>
                </c:pt>
                <c:pt idx="2">
                  <c:v>19041.04</c:v>
                </c:pt>
                <c:pt idx="3">
                  <c:v>24035.34</c:v>
                </c:pt>
                <c:pt idx="4">
                  <c:v>18013.47</c:v>
                </c:pt>
                <c:pt idx="5">
                  <c:v>20481.93</c:v>
                </c:pt>
                <c:pt idx="6">
                  <c:v>21957.000000000004</c:v>
                </c:pt>
                <c:pt idx="7">
                  <c:v>17528.47</c:v>
                </c:pt>
                <c:pt idx="8">
                  <c:v>18240.7</c:v>
                </c:pt>
                <c:pt idx="9">
                  <c:v>28354.22</c:v>
                </c:pt>
              </c:numCache>
            </c:numRef>
          </c:val>
          <c:extLst>
            <c:ext xmlns:c16="http://schemas.microsoft.com/office/drawing/2014/chart" uri="{C3380CC4-5D6E-409C-BE32-E72D297353CC}">
              <c16:uniqueId val="{00000000-D240-47C6-A06B-06A9567034E1}"/>
            </c:ext>
          </c:extLst>
        </c:ser>
        <c:ser>
          <c:idx val="1"/>
          <c:order val="1"/>
          <c:tx>
            <c:strRef>
              <c:f>'pivot table'!$K$3</c:f>
              <c:strCache>
                <c:ptCount val="1"/>
                <c:pt idx="0">
                  <c:v>Sum of profit</c:v>
                </c:pt>
              </c:strCache>
            </c:strRef>
          </c:tx>
          <c:spPr>
            <a:solidFill>
              <a:schemeClr val="tx1">
                <a:lumMod val="65000"/>
                <a:lumOff val="35000"/>
              </a:schemeClr>
            </a:solidFill>
            <a:ln>
              <a:noFill/>
            </a:ln>
            <a:effectLst/>
          </c:spPr>
          <c:invertIfNegative val="0"/>
          <c:cat>
            <c:strRef>
              <c:f>'pivot table'!$I$4:$I$14</c:f>
              <c:strCache>
                <c:ptCount val="10"/>
                <c:pt idx="0">
                  <c:v>Alaia</c:v>
                </c:pt>
                <c:pt idx="1">
                  <c:v>Ella</c:v>
                </c:pt>
                <c:pt idx="2">
                  <c:v>Everly</c:v>
                </c:pt>
                <c:pt idx="3">
                  <c:v>Harold</c:v>
                </c:pt>
                <c:pt idx="4">
                  <c:v>Harper</c:v>
                </c:pt>
                <c:pt idx="5">
                  <c:v>Jonathan</c:v>
                </c:pt>
                <c:pt idx="6">
                  <c:v>Maria</c:v>
                </c:pt>
                <c:pt idx="7">
                  <c:v>Raymond</c:v>
                </c:pt>
                <c:pt idx="8">
                  <c:v>Rose</c:v>
                </c:pt>
                <c:pt idx="9">
                  <c:v>Vivian</c:v>
                </c:pt>
              </c:strCache>
            </c:strRef>
          </c:cat>
          <c:val>
            <c:numRef>
              <c:f>'pivot table'!$K$4:$K$14</c:f>
              <c:numCache>
                <c:formatCode>"₹"\ #,##0.00</c:formatCode>
                <c:ptCount val="10"/>
                <c:pt idx="0">
                  <c:v>9135.41</c:v>
                </c:pt>
                <c:pt idx="1">
                  <c:v>7549.1600000000008</c:v>
                </c:pt>
                <c:pt idx="2">
                  <c:v>7123.119999999999</c:v>
                </c:pt>
                <c:pt idx="3">
                  <c:v>7683.62</c:v>
                </c:pt>
                <c:pt idx="4">
                  <c:v>6037.5599999999995</c:v>
                </c:pt>
                <c:pt idx="5">
                  <c:v>6675.63</c:v>
                </c:pt>
                <c:pt idx="6">
                  <c:v>7055.0400000000018</c:v>
                </c:pt>
                <c:pt idx="7">
                  <c:v>5391.05</c:v>
                </c:pt>
                <c:pt idx="8">
                  <c:v>5321.1399999999994</c:v>
                </c:pt>
                <c:pt idx="9">
                  <c:v>8320.77</c:v>
                </c:pt>
              </c:numCache>
            </c:numRef>
          </c:val>
          <c:extLst>
            <c:ext xmlns:c16="http://schemas.microsoft.com/office/drawing/2014/chart" uri="{C3380CC4-5D6E-409C-BE32-E72D297353CC}">
              <c16:uniqueId val="{00000001-D240-47C6-A06B-06A9567034E1}"/>
            </c:ext>
          </c:extLst>
        </c:ser>
        <c:dLbls>
          <c:showLegendKey val="0"/>
          <c:showVal val="0"/>
          <c:showCatName val="0"/>
          <c:showSerName val="0"/>
          <c:showPercent val="0"/>
          <c:showBubbleSize val="0"/>
        </c:dLbls>
        <c:gapWidth val="219"/>
        <c:overlap val="-27"/>
        <c:axId val="1074722896"/>
        <c:axId val="11620528"/>
      </c:barChart>
      <c:catAx>
        <c:axId val="107472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528"/>
        <c:crosses val="autoZero"/>
        <c:auto val="1"/>
        <c:lblAlgn val="ctr"/>
        <c:lblOffset val="100"/>
        <c:noMultiLvlLbl val="0"/>
      </c:catAx>
      <c:valAx>
        <c:axId val="11620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2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Category Distribution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table'!$N$3:$N$4</c:f>
              <c:strCache>
                <c:ptCount val="1"/>
                <c:pt idx="0">
                  <c:v>High</c:v>
                </c:pt>
              </c:strCache>
            </c:strRef>
          </c:tx>
          <c:spPr>
            <a:solidFill>
              <a:schemeClr val="tx1"/>
            </a:solidFill>
            <a:ln>
              <a:noFill/>
            </a:ln>
            <a:effectLst/>
          </c:spPr>
          <c:invertIfNegative val="0"/>
          <c:cat>
            <c:strRef>
              <c:f>'pivot table'!$M$5:$M$9</c:f>
              <c:strCache>
                <c:ptCount val="4"/>
                <c:pt idx="0">
                  <c:v>East</c:v>
                </c:pt>
                <c:pt idx="1">
                  <c:v>North</c:v>
                </c:pt>
                <c:pt idx="2">
                  <c:v>South</c:v>
                </c:pt>
                <c:pt idx="3">
                  <c:v>West</c:v>
                </c:pt>
              </c:strCache>
            </c:strRef>
          </c:cat>
          <c:val>
            <c:numRef>
              <c:f>'pivot table'!$N$5:$N$9</c:f>
              <c:numCache>
                <c:formatCode>"₹"\ #,##0.00</c:formatCode>
                <c:ptCount val="4"/>
                <c:pt idx="0">
                  <c:v>311204.55999999994</c:v>
                </c:pt>
                <c:pt idx="1">
                  <c:v>260474.48000000007</c:v>
                </c:pt>
                <c:pt idx="2">
                  <c:v>224750.03999999995</c:v>
                </c:pt>
                <c:pt idx="3">
                  <c:v>264523.39</c:v>
                </c:pt>
              </c:numCache>
            </c:numRef>
          </c:val>
          <c:extLst>
            <c:ext xmlns:c16="http://schemas.microsoft.com/office/drawing/2014/chart" uri="{C3380CC4-5D6E-409C-BE32-E72D297353CC}">
              <c16:uniqueId val="{00000000-0D1B-472E-8E07-52C4BA3900BC}"/>
            </c:ext>
          </c:extLst>
        </c:ser>
        <c:ser>
          <c:idx val="1"/>
          <c:order val="1"/>
          <c:tx>
            <c:strRef>
              <c:f>'pivot table'!$O$3:$O$4</c:f>
              <c:strCache>
                <c:ptCount val="1"/>
                <c:pt idx="0">
                  <c:v>Low</c:v>
                </c:pt>
              </c:strCache>
            </c:strRef>
          </c:tx>
          <c:spPr>
            <a:solidFill>
              <a:schemeClr val="tx1">
                <a:lumMod val="75000"/>
                <a:lumOff val="25000"/>
              </a:schemeClr>
            </a:solidFill>
            <a:ln>
              <a:noFill/>
            </a:ln>
            <a:effectLst/>
          </c:spPr>
          <c:invertIfNegative val="0"/>
          <c:cat>
            <c:strRef>
              <c:f>'pivot table'!$M$5:$M$9</c:f>
              <c:strCache>
                <c:ptCount val="4"/>
                <c:pt idx="0">
                  <c:v>East</c:v>
                </c:pt>
                <c:pt idx="1">
                  <c:v>North</c:v>
                </c:pt>
                <c:pt idx="2">
                  <c:v>South</c:v>
                </c:pt>
                <c:pt idx="3">
                  <c:v>West</c:v>
                </c:pt>
              </c:strCache>
            </c:strRef>
          </c:cat>
          <c:val>
            <c:numRef>
              <c:f>'pivot table'!$O$5:$O$9</c:f>
              <c:numCache>
                <c:formatCode>"₹"\ #,##0.00</c:formatCode>
                <c:ptCount val="4"/>
                <c:pt idx="0">
                  <c:v>33789.57</c:v>
                </c:pt>
                <c:pt idx="1">
                  <c:v>27625.94</c:v>
                </c:pt>
                <c:pt idx="2">
                  <c:v>30774.579999999994</c:v>
                </c:pt>
                <c:pt idx="3">
                  <c:v>33861.269999999997</c:v>
                </c:pt>
              </c:numCache>
            </c:numRef>
          </c:val>
          <c:extLst>
            <c:ext xmlns:c16="http://schemas.microsoft.com/office/drawing/2014/chart" uri="{C3380CC4-5D6E-409C-BE32-E72D297353CC}">
              <c16:uniqueId val="{00000001-0D1B-472E-8E07-52C4BA3900BC}"/>
            </c:ext>
          </c:extLst>
        </c:ser>
        <c:ser>
          <c:idx val="2"/>
          <c:order val="2"/>
          <c:tx>
            <c:strRef>
              <c:f>'pivot table'!$P$3:$P$4</c:f>
              <c:strCache>
                <c:ptCount val="1"/>
                <c:pt idx="0">
                  <c:v>Medium</c:v>
                </c:pt>
              </c:strCache>
            </c:strRef>
          </c:tx>
          <c:spPr>
            <a:solidFill>
              <a:schemeClr val="accent3"/>
            </a:solidFill>
            <a:ln>
              <a:noFill/>
            </a:ln>
            <a:effectLst/>
          </c:spPr>
          <c:invertIfNegative val="0"/>
          <c:cat>
            <c:strRef>
              <c:f>'pivot table'!$M$5:$M$9</c:f>
              <c:strCache>
                <c:ptCount val="4"/>
                <c:pt idx="0">
                  <c:v>East</c:v>
                </c:pt>
                <c:pt idx="1">
                  <c:v>North</c:v>
                </c:pt>
                <c:pt idx="2">
                  <c:v>South</c:v>
                </c:pt>
                <c:pt idx="3">
                  <c:v>West</c:v>
                </c:pt>
              </c:strCache>
            </c:strRef>
          </c:cat>
          <c:val>
            <c:numRef>
              <c:f>'pivot table'!$P$5:$P$9</c:f>
              <c:numCache>
                <c:formatCode>"₹"\ #,##0.00</c:formatCode>
                <c:ptCount val="4"/>
                <c:pt idx="0">
                  <c:v>61026.639999999992</c:v>
                </c:pt>
                <c:pt idx="1">
                  <c:v>47556.630000000005</c:v>
                </c:pt>
                <c:pt idx="2">
                  <c:v>79064.47</c:v>
                </c:pt>
                <c:pt idx="3">
                  <c:v>68706.399999999994</c:v>
                </c:pt>
              </c:numCache>
            </c:numRef>
          </c:val>
          <c:extLst>
            <c:ext xmlns:c16="http://schemas.microsoft.com/office/drawing/2014/chart" uri="{C3380CC4-5D6E-409C-BE32-E72D297353CC}">
              <c16:uniqueId val="{00000002-0D1B-472E-8E07-52C4BA3900BC}"/>
            </c:ext>
          </c:extLst>
        </c:ser>
        <c:dLbls>
          <c:showLegendKey val="0"/>
          <c:showVal val="0"/>
          <c:showCatName val="0"/>
          <c:showSerName val="0"/>
          <c:showPercent val="0"/>
          <c:showBubbleSize val="0"/>
        </c:dLbls>
        <c:gapWidth val="219"/>
        <c:overlap val="-27"/>
        <c:axId val="1074742384"/>
        <c:axId val="11677168"/>
      </c:barChart>
      <c:catAx>
        <c:axId val="107474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168"/>
        <c:crosses val="autoZero"/>
        <c:auto val="1"/>
        <c:lblAlgn val="ctr"/>
        <c:lblOffset val="100"/>
        <c:noMultiLvlLbl val="0"/>
      </c:catAx>
      <c:valAx>
        <c:axId val="11677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74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50000"/>
                <a:lumOff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Sum of sales ammount</c:v>
                </c:pt>
              </c:strCache>
            </c:strRef>
          </c:tx>
          <c:spPr>
            <a:ln w="34925" cap="rnd">
              <a:solidFill>
                <a:schemeClr val="tx1"/>
              </a:solidFill>
              <a:round/>
            </a:ln>
            <a:effectLst/>
          </c:spPr>
          <c:marker>
            <c:symbol val="none"/>
          </c:marker>
          <c:cat>
            <c:strRef>
              <c:f>'pivot table'!$S$4:$S$16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table'!$T$4:$T$16</c:f>
              <c:numCache>
                <c:formatCode>"₹"\ #,##0.00</c:formatCode>
                <c:ptCount val="12"/>
                <c:pt idx="0">
                  <c:v>162911.72999999995</c:v>
                </c:pt>
                <c:pt idx="1">
                  <c:v>91837.339999999967</c:v>
                </c:pt>
                <c:pt idx="2">
                  <c:v>110390.94</c:v>
                </c:pt>
                <c:pt idx="3">
                  <c:v>139207.45000000001</c:v>
                </c:pt>
                <c:pt idx="4">
                  <c:v>165749.91</c:v>
                </c:pt>
                <c:pt idx="5">
                  <c:v>88775.959999999992</c:v>
                </c:pt>
                <c:pt idx="6">
                  <c:v>136464.63999999998</c:v>
                </c:pt>
                <c:pt idx="7">
                  <c:v>108283.64000000004</c:v>
                </c:pt>
                <c:pt idx="8">
                  <c:v>107520.87000000001</c:v>
                </c:pt>
                <c:pt idx="9">
                  <c:v>99762.76</c:v>
                </c:pt>
                <c:pt idx="10">
                  <c:v>118913.19</c:v>
                </c:pt>
                <c:pt idx="11">
                  <c:v>113539.53999999998</c:v>
                </c:pt>
              </c:numCache>
            </c:numRef>
          </c:val>
          <c:smooth val="0"/>
          <c:extLst>
            <c:ext xmlns:c16="http://schemas.microsoft.com/office/drawing/2014/chart" uri="{C3380CC4-5D6E-409C-BE32-E72D297353CC}">
              <c16:uniqueId val="{00000000-91FA-4BF3-BC08-421314B7CB58}"/>
            </c:ext>
          </c:extLst>
        </c:ser>
        <c:ser>
          <c:idx val="1"/>
          <c:order val="1"/>
          <c:tx>
            <c:strRef>
              <c:f>'pivot table'!$U$3</c:f>
              <c:strCache>
                <c:ptCount val="1"/>
                <c:pt idx="0">
                  <c:v>Sum of profit</c:v>
                </c:pt>
              </c:strCache>
            </c:strRef>
          </c:tx>
          <c:spPr>
            <a:ln w="28575" cap="rnd">
              <a:solidFill>
                <a:schemeClr val="tx1">
                  <a:lumMod val="50000"/>
                  <a:lumOff val="50000"/>
                </a:schemeClr>
              </a:solidFill>
              <a:round/>
            </a:ln>
            <a:effectLst/>
          </c:spPr>
          <c:marker>
            <c:symbol val="none"/>
          </c:marker>
          <c:cat>
            <c:strRef>
              <c:f>'pivot table'!$S$4:$S$16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table'!$U$4:$U$16</c:f>
              <c:numCache>
                <c:formatCode>"₹"\ #,##0.00</c:formatCode>
                <c:ptCount val="12"/>
                <c:pt idx="0">
                  <c:v>51227.97</c:v>
                </c:pt>
                <c:pt idx="1">
                  <c:v>29414.039999999997</c:v>
                </c:pt>
                <c:pt idx="2">
                  <c:v>35911.859999999993</c:v>
                </c:pt>
                <c:pt idx="3">
                  <c:v>45357.599999999991</c:v>
                </c:pt>
                <c:pt idx="4">
                  <c:v>54295.159999999989</c:v>
                </c:pt>
                <c:pt idx="5">
                  <c:v>28948.550000000003</c:v>
                </c:pt>
                <c:pt idx="6">
                  <c:v>46265.149999999994</c:v>
                </c:pt>
                <c:pt idx="7">
                  <c:v>36490.700000000004</c:v>
                </c:pt>
                <c:pt idx="8">
                  <c:v>35242.65</c:v>
                </c:pt>
                <c:pt idx="9">
                  <c:v>35443.840000000004</c:v>
                </c:pt>
                <c:pt idx="10">
                  <c:v>38838.379999999997</c:v>
                </c:pt>
                <c:pt idx="11">
                  <c:v>38456.729999999989</c:v>
                </c:pt>
              </c:numCache>
            </c:numRef>
          </c:val>
          <c:smooth val="0"/>
          <c:extLst>
            <c:ext xmlns:c16="http://schemas.microsoft.com/office/drawing/2014/chart" uri="{C3380CC4-5D6E-409C-BE32-E72D297353CC}">
              <c16:uniqueId val="{00000001-91FA-4BF3-BC08-421314B7CB58}"/>
            </c:ext>
          </c:extLst>
        </c:ser>
        <c:dLbls>
          <c:showLegendKey val="0"/>
          <c:showVal val="0"/>
          <c:showCatName val="0"/>
          <c:showSerName val="0"/>
          <c:showPercent val="0"/>
          <c:showBubbleSize val="0"/>
        </c:dLbls>
        <c:smooth val="0"/>
        <c:axId val="583646464"/>
        <c:axId val="11672848"/>
      </c:lineChart>
      <c:catAx>
        <c:axId val="58364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2848"/>
        <c:crosses val="autoZero"/>
        <c:auto val="1"/>
        <c:lblAlgn val="ctr"/>
        <c:lblOffset val="100"/>
        <c:noMultiLvlLbl val="0"/>
      </c:catAx>
      <c:valAx>
        <c:axId val="11672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4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207091</xdr:colOff>
      <xdr:row>7</xdr:row>
      <xdr:rowOff>117814</xdr:rowOff>
    </xdr:from>
    <xdr:to>
      <xdr:col>6</xdr:col>
      <xdr:colOff>87863</xdr:colOff>
      <xdr:row>21</xdr:row>
      <xdr:rowOff>57799</xdr:rowOff>
    </xdr:to>
    <xdr:graphicFrame macro="">
      <xdr:nvGraphicFramePr>
        <xdr:cNvPr id="2" name="Chart 1">
          <a:extLst>
            <a:ext uri="{FF2B5EF4-FFF2-40B4-BE49-F238E27FC236}">
              <a16:creationId xmlns:a16="http://schemas.microsoft.com/office/drawing/2014/main" id="{A691D807-1FDB-4537-B175-8C5555B27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329292</xdr:colOff>
      <xdr:row>7</xdr:row>
      <xdr:rowOff>103970</xdr:rowOff>
    </xdr:from>
    <xdr:to>
      <xdr:col>13</xdr:col>
      <xdr:colOff>601580</xdr:colOff>
      <xdr:row>21</xdr:row>
      <xdr:rowOff>53473</xdr:rowOff>
    </xdr:to>
    <xdr:graphicFrame macro="">
      <xdr:nvGraphicFramePr>
        <xdr:cNvPr id="3" name="Chart 5">
          <a:extLst>
            <a:ext uri="{FF2B5EF4-FFF2-40B4-BE49-F238E27FC236}">
              <a16:creationId xmlns:a16="http://schemas.microsoft.com/office/drawing/2014/main" id="{FB44EC74-7EBC-D823-3FE6-F3BDF7E3C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168871</xdr:colOff>
      <xdr:row>7</xdr:row>
      <xdr:rowOff>90352</xdr:rowOff>
    </xdr:from>
    <xdr:to>
      <xdr:col>21</xdr:col>
      <xdr:colOff>257735</xdr:colOff>
      <xdr:row>21</xdr:row>
      <xdr:rowOff>56031</xdr:rowOff>
    </xdr:to>
    <xdr:graphicFrame macro="">
      <xdr:nvGraphicFramePr>
        <xdr:cNvPr id="4" name="Chart 6">
          <a:extLst>
            <a:ext uri="{FF2B5EF4-FFF2-40B4-BE49-F238E27FC236}">
              <a16:creationId xmlns:a16="http://schemas.microsoft.com/office/drawing/2014/main" id="{932AB22E-6D2C-AC3B-4262-DEDC1A371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126209</xdr:colOff>
      <xdr:row>22</xdr:row>
      <xdr:rowOff>144216</xdr:rowOff>
    </xdr:from>
    <xdr:to>
      <xdr:col>6</xdr:col>
      <xdr:colOff>224707</xdr:colOff>
      <xdr:row>36</xdr:row>
      <xdr:rowOff>61731</xdr:rowOff>
    </xdr:to>
    <xdr:graphicFrame macro="">
      <xdr:nvGraphicFramePr>
        <xdr:cNvPr id="5" name="Chart 7">
          <a:extLst>
            <a:ext uri="{FF2B5EF4-FFF2-40B4-BE49-F238E27FC236}">
              <a16:creationId xmlns:a16="http://schemas.microsoft.com/office/drawing/2014/main" id="{806D313F-635A-41F3-5A23-B68C44769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345186</xdr:colOff>
      <xdr:row>22</xdr:row>
      <xdr:rowOff>148400</xdr:rowOff>
    </xdr:from>
    <xdr:to>
      <xdr:col>13</xdr:col>
      <xdr:colOff>549089</xdr:colOff>
      <xdr:row>36</xdr:row>
      <xdr:rowOff>44824</xdr:rowOff>
    </xdr:to>
    <xdr:graphicFrame macro="">
      <xdr:nvGraphicFramePr>
        <xdr:cNvPr id="6" name="Chart 8">
          <a:extLst>
            <a:ext uri="{FF2B5EF4-FFF2-40B4-BE49-F238E27FC236}">
              <a16:creationId xmlns:a16="http://schemas.microsoft.com/office/drawing/2014/main" id="{2169634D-0449-183B-45E7-84BB1F23A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212912</xdr:colOff>
      <xdr:row>23</xdr:row>
      <xdr:rowOff>33618</xdr:rowOff>
    </xdr:from>
    <xdr:to>
      <xdr:col>17</xdr:col>
      <xdr:colOff>470647</xdr:colOff>
      <xdr:row>36</xdr:row>
      <xdr:rowOff>56029</xdr:rowOff>
    </xdr:to>
    <mc:AlternateContent xmlns:mc="http://schemas.openxmlformats.org/markup-compatibility/2006">
      <mc:Choice xmlns:a14="http://schemas.microsoft.com/office/drawing/2010/main" Requires="a14">
        <xdr:graphicFrame macro="">
          <xdr:nvGraphicFramePr>
            <xdr:cNvPr id="7" name="Item Category">
              <a:extLst>
                <a:ext uri="{FF2B5EF4-FFF2-40B4-BE49-F238E27FC236}">
                  <a16:creationId xmlns:a16="http://schemas.microsoft.com/office/drawing/2014/main" id="{3D685878-A779-411A-BA98-B4C572D73FC2}"/>
                </a:ext>
              </a:extLst>
            </xdr:cNvPr>
            <xdr:cNvGraphicFramePr/>
          </xdr:nvGraphicFramePr>
          <xdr:xfrm>
            <a:off x="0" y="0"/>
            <a:ext cx="0" cy="0"/>
          </xdr:xfrm>
          <a:graphic>
            <a:graphicData uri="http://schemas.microsoft.com/office/drawing/2010/slicer">
              <sle:slicer xmlns:sle="http://schemas.microsoft.com/office/drawing/2010/slicer" name="Item Category"/>
            </a:graphicData>
          </a:graphic>
        </xdr:graphicFrame>
      </mc:Choice>
      <mc:Fallback>
        <xdr:sp macro="" textlink="">
          <xdr:nvSpPr>
            <xdr:cNvPr id="0" name=""/>
            <xdr:cNvSpPr>
              <a:spLocks noTextEdit="1"/>
            </xdr:cNvSpPr>
          </xdr:nvSpPr>
          <xdr:spPr>
            <a:xfrm>
              <a:off x="8666799" y="4332448"/>
              <a:ext cx="2069282" cy="2452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560294</xdr:colOff>
      <xdr:row>23</xdr:row>
      <xdr:rowOff>33617</xdr:rowOff>
    </xdr:from>
    <xdr:to>
      <xdr:col>21</xdr:col>
      <xdr:colOff>280147</xdr:colOff>
      <xdr:row>36</xdr:row>
      <xdr:rowOff>33618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1344A0D-06FA-4C64-B9B6-75434BF3DB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25728" y="4332447"/>
              <a:ext cx="2135249" cy="242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215660</xdr:colOff>
      <xdr:row>4</xdr:row>
      <xdr:rowOff>71888</xdr:rowOff>
    </xdr:from>
    <xdr:to>
      <xdr:col>4</xdr:col>
      <xdr:colOff>330680</xdr:colOff>
      <xdr:row>7</xdr:row>
      <xdr:rowOff>-1</xdr:rowOff>
    </xdr:to>
    <xdr:sp macro="" textlink="">
      <xdr:nvSpPr>
        <xdr:cNvPr id="9" name="Rectangle: Rounded Corners 8">
          <a:extLst>
            <a:ext uri="{FF2B5EF4-FFF2-40B4-BE49-F238E27FC236}">
              <a16:creationId xmlns:a16="http://schemas.microsoft.com/office/drawing/2014/main" id="{592B09D7-ED9E-54C6-35BC-0A373B505DCD}"/>
            </a:ext>
          </a:extLst>
        </xdr:cNvPr>
        <xdr:cNvSpPr/>
      </xdr:nvSpPr>
      <xdr:spPr>
        <a:xfrm>
          <a:off x="215660" y="819511"/>
          <a:ext cx="2530416" cy="4888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Total Revenue: ₹14,43,358</a:t>
          </a:r>
        </a:p>
      </xdr:txBody>
    </xdr:sp>
    <xdr:clientData/>
  </xdr:twoCellAnchor>
  <xdr:twoCellAnchor>
    <xdr:from>
      <xdr:col>6</xdr:col>
      <xdr:colOff>0</xdr:colOff>
      <xdr:row>4</xdr:row>
      <xdr:rowOff>71887</xdr:rowOff>
    </xdr:from>
    <xdr:to>
      <xdr:col>9</xdr:col>
      <xdr:colOff>431320</xdr:colOff>
      <xdr:row>7</xdr:row>
      <xdr:rowOff>0</xdr:rowOff>
    </xdr:to>
    <xdr:sp macro="" textlink="">
      <xdr:nvSpPr>
        <xdr:cNvPr id="10" name="Rectangle: Rounded Corners 9">
          <a:extLst>
            <a:ext uri="{FF2B5EF4-FFF2-40B4-BE49-F238E27FC236}">
              <a16:creationId xmlns:a16="http://schemas.microsoft.com/office/drawing/2014/main" id="{503528F9-EDE3-5DA8-BC5A-FDA0B8607DF5}"/>
            </a:ext>
          </a:extLst>
        </xdr:cNvPr>
        <xdr:cNvSpPr/>
      </xdr:nvSpPr>
      <xdr:spPr>
        <a:xfrm>
          <a:off x="3623094" y="819510"/>
          <a:ext cx="2242868" cy="4888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Total Profit: ₹4,75,889</a:t>
          </a:r>
        </a:p>
      </xdr:txBody>
    </xdr:sp>
    <xdr:clientData/>
  </xdr:twoCellAnchor>
  <xdr:twoCellAnchor>
    <xdr:from>
      <xdr:col>11</xdr:col>
      <xdr:colOff>28754</xdr:colOff>
      <xdr:row>4</xdr:row>
      <xdr:rowOff>57508</xdr:rowOff>
    </xdr:from>
    <xdr:to>
      <xdr:col>14</xdr:col>
      <xdr:colOff>445697</xdr:colOff>
      <xdr:row>7</xdr:row>
      <xdr:rowOff>1</xdr:rowOff>
    </xdr:to>
    <xdr:sp macro="" textlink="">
      <xdr:nvSpPr>
        <xdr:cNvPr id="11" name="Rectangle: Rounded Corners 10">
          <a:extLst>
            <a:ext uri="{FF2B5EF4-FFF2-40B4-BE49-F238E27FC236}">
              <a16:creationId xmlns:a16="http://schemas.microsoft.com/office/drawing/2014/main" id="{B57D3E11-5227-0AED-1770-FE77BC4C2318}"/>
            </a:ext>
          </a:extLst>
        </xdr:cNvPr>
        <xdr:cNvSpPr/>
      </xdr:nvSpPr>
      <xdr:spPr>
        <a:xfrm>
          <a:off x="6671094" y="805131"/>
          <a:ext cx="2228490" cy="50321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Total Units Sold: 5,314</a:t>
          </a:r>
        </a:p>
      </xdr:txBody>
    </xdr:sp>
    <xdr:clientData/>
  </xdr:twoCellAnchor>
  <xdr:twoCellAnchor>
    <xdr:from>
      <xdr:col>17</xdr:col>
      <xdr:colOff>43132</xdr:colOff>
      <xdr:row>4</xdr:row>
      <xdr:rowOff>14378</xdr:rowOff>
    </xdr:from>
    <xdr:to>
      <xdr:col>21</xdr:col>
      <xdr:colOff>230038</xdr:colOff>
      <xdr:row>6</xdr:row>
      <xdr:rowOff>172528</xdr:rowOff>
    </xdr:to>
    <xdr:sp macro="" textlink="">
      <xdr:nvSpPr>
        <xdr:cNvPr id="12" name="Rectangle: Rounded Corners 11">
          <a:extLst>
            <a:ext uri="{FF2B5EF4-FFF2-40B4-BE49-F238E27FC236}">
              <a16:creationId xmlns:a16="http://schemas.microsoft.com/office/drawing/2014/main" id="{B163A061-24F5-8532-8106-4A47ECA728ED}"/>
            </a:ext>
          </a:extLst>
        </xdr:cNvPr>
        <xdr:cNvSpPr/>
      </xdr:nvSpPr>
      <xdr:spPr>
        <a:xfrm>
          <a:off x="10308566" y="762001"/>
          <a:ext cx="2602302" cy="53196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Profit Margin: ~33%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im" refreshedDate="46296.541559375" createdVersion="8" refreshedVersion="8" minRefreshableVersion="3" recordCount="500" xr:uid="{388DBAB4-31A5-4FEB-8E32-B1BA2C7AE8E9}">
  <cacheSource type="worksheet">
    <worksheetSource name="Table1"/>
  </cacheSource>
  <cacheFields count="16">
    <cacheField name="Order Date" numFmtId="14">
      <sharedItems containsSemiMixedTypes="0" containsNonDate="0" containsDate="1" containsString="0" minDate="2026-01-01T00:00:00" maxDate="2027-01-01T00:00:00" count="260">
        <d v="2026-09-21T00:00:00"/>
        <d v="2026-12-07T00:00:00"/>
        <d v="2026-08-21T00:00:00"/>
        <d v="2026-11-12T00:00:00"/>
        <d v="2026-08-08T00:00:00"/>
        <d v="2026-08-05T00:00:00"/>
        <d v="2026-06-15T00:00:00"/>
        <d v="2026-12-26T00:00:00"/>
        <d v="2026-02-13T00:00:00"/>
        <d v="2026-10-04T00:00:00"/>
        <d v="2026-02-21T00:00:00"/>
        <d v="2026-03-14T00:00:00"/>
        <d v="2026-09-23T00:00:00"/>
        <d v="2026-09-28T00:00:00"/>
        <d v="2026-04-18T00:00:00"/>
        <d v="2026-06-07T00:00:00"/>
        <d v="2026-02-03T00:00:00"/>
        <d v="2026-03-23T00:00:00"/>
        <d v="2026-12-15T00:00:00"/>
        <d v="2026-08-22T00:00:00"/>
        <d v="2026-10-03T00:00:00"/>
        <d v="2026-03-29T00:00:00"/>
        <d v="2026-02-12T00:00:00"/>
        <d v="2026-05-18T00:00:00"/>
        <d v="2026-09-25T00:00:00"/>
        <d v="2026-06-14T00:00:00"/>
        <d v="2026-08-30T00:00:00"/>
        <d v="2026-09-17T00:00:00"/>
        <d v="2026-06-21T00:00:00"/>
        <d v="2026-07-07T00:00:00"/>
        <d v="2026-02-05T00:00:00"/>
        <d v="2026-05-16T00:00:00"/>
        <d v="2026-08-03T00:00:00"/>
        <d v="2026-12-13T00:00:00"/>
        <d v="2026-05-28T00:00:00"/>
        <d v="2026-09-06T00:00:00"/>
        <d v="2026-02-19T00:00:00"/>
        <d v="2026-04-19T00:00:00"/>
        <d v="2026-03-25T00:00:00"/>
        <d v="2026-05-02T00:00:00"/>
        <d v="2026-04-10T00:00:00"/>
        <d v="2026-12-14T00:00:00"/>
        <d v="2026-10-15T00:00:00"/>
        <d v="2026-12-25T00:00:00"/>
        <d v="2026-07-21T00:00:00"/>
        <d v="2026-03-01T00:00:00"/>
        <d v="2026-07-08T00:00:00"/>
        <d v="2026-01-05T00:00:00"/>
        <d v="2026-03-04T00:00:00"/>
        <d v="2026-07-30T00:00:00"/>
        <d v="2026-12-04T00:00:00"/>
        <d v="2026-08-24T00:00:00"/>
        <d v="2026-01-30T00:00:00"/>
        <d v="2026-05-07T00:00:00"/>
        <d v="2026-10-24T00:00:00"/>
        <d v="2026-04-13T00:00:00"/>
        <d v="2026-06-08T00:00:00"/>
        <d v="2026-07-06T00:00:00"/>
        <d v="2026-06-05T00:00:00"/>
        <d v="2026-04-20T00:00:00"/>
        <d v="2026-11-18T00:00:00"/>
        <d v="2026-09-20T00:00:00"/>
        <d v="2026-01-19T00:00:00"/>
        <d v="2026-04-24T00:00:00"/>
        <d v="2026-02-20T00:00:00"/>
        <d v="2026-04-04T00:00:00"/>
        <d v="2026-10-22T00:00:00"/>
        <d v="2026-04-09T00:00:00"/>
        <d v="2026-04-30T00:00:00"/>
        <d v="2026-02-27T00:00:00"/>
        <d v="2026-02-09T00:00:00"/>
        <d v="2026-11-01T00:00:00"/>
        <d v="2026-04-25T00:00:00"/>
        <d v="2026-05-27T00:00:00"/>
        <d v="2026-08-26T00:00:00"/>
        <d v="2026-01-10T00:00:00"/>
        <d v="2026-12-24T00:00:00"/>
        <d v="2026-01-21T00:00:00"/>
        <d v="2026-07-05T00:00:00"/>
        <d v="2026-12-01T00:00:00"/>
        <d v="2026-08-20T00:00:00"/>
        <d v="2026-11-06T00:00:00"/>
        <d v="2026-11-03T00:00:00"/>
        <d v="2026-04-17T00:00:00"/>
        <d v="2026-10-23T00:00:00"/>
        <d v="2026-07-14T00:00:00"/>
        <d v="2026-08-18T00:00:00"/>
        <d v="2026-08-25T00:00:00"/>
        <d v="2026-11-26T00:00:00"/>
        <d v="2026-01-04T00:00:00"/>
        <d v="2026-01-08T00:00:00"/>
        <d v="2026-07-04T00:00:00"/>
        <d v="2026-11-28T00:00:00"/>
        <d v="2026-01-01T00:00:00"/>
        <d v="2026-01-16T00:00:00"/>
        <d v="2026-12-23T00:00:00"/>
        <d v="2026-07-19T00:00:00"/>
        <d v="2026-03-15T00:00:00"/>
        <d v="2026-11-30T00:00:00"/>
        <d v="2026-07-26T00:00:00"/>
        <d v="2026-07-24T00:00:00"/>
        <d v="2026-08-14T00:00:00"/>
        <d v="2026-09-26T00:00:00"/>
        <d v="2026-12-29T00:00:00"/>
        <d v="2026-05-09T00:00:00"/>
        <d v="2026-11-17T00:00:00"/>
        <d v="2026-12-11T00:00:00"/>
        <d v="2026-02-10T00:00:00"/>
        <d v="2026-04-03T00:00:00"/>
        <d v="2026-12-05T00:00:00"/>
        <d v="2026-11-22T00:00:00"/>
        <d v="2026-01-26T00:00:00"/>
        <d v="2026-02-02T00:00:00"/>
        <d v="2026-05-17T00:00:00"/>
        <d v="2026-05-15T00:00:00"/>
        <d v="2026-04-27T00:00:00"/>
        <d v="2026-12-31T00:00:00"/>
        <d v="2026-11-10T00:00:00"/>
        <d v="2026-08-16T00:00:00"/>
        <d v="2026-07-31T00:00:00"/>
        <d v="2026-03-13T00:00:00"/>
        <d v="2026-02-22T00:00:00"/>
        <d v="2026-10-06T00:00:00"/>
        <d v="2026-06-13T00:00:00"/>
        <d v="2026-05-11T00:00:00"/>
        <d v="2026-06-20T00:00:00"/>
        <d v="2026-11-16T00:00:00"/>
        <d v="2026-03-08T00:00:00"/>
        <d v="2026-11-15T00:00:00"/>
        <d v="2026-09-12T00:00:00"/>
        <d v="2026-02-23T00:00:00"/>
        <d v="2026-08-01T00:00:00"/>
        <d v="2026-09-11T00:00:00"/>
        <d v="2026-03-26T00:00:00"/>
        <d v="2026-05-24T00:00:00"/>
        <d v="2026-12-08T00:00:00"/>
        <d v="2026-11-27T00:00:00"/>
        <d v="2026-06-11T00:00:00"/>
        <d v="2026-01-22T00:00:00"/>
        <d v="2026-06-26T00:00:00"/>
        <d v="2026-07-17T00:00:00"/>
        <d v="2026-10-31T00:00:00"/>
        <d v="2026-02-16T00:00:00"/>
        <d v="2026-04-21T00:00:00"/>
        <d v="2026-06-30T00:00:00"/>
        <d v="2026-03-17T00:00:00"/>
        <d v="2026-02-08T00:00:00"/>
        <d v="2026-01-18T00:00:00"/>
        <d v="2026-01-23T00:00:00"/>
        <d v="2026-12-22T00:00:00"/>
        <d v="2026-07-09T00:00:00"/>
        <d v="2026-11-11T00:00:00"/>
        <d v="2026-11-24T00:00:00"/>
        <d v="2026-12-02T00:00:00"/>
        <d v="2026-09-02T00:00:00"/>
        <d v="2026-12-30T00:00:00"/>
        <d v="2026-05-19T00:00:00"/>
        <d v="2026-04-29T00:00:00"/>
        <d v="2026-04-26T00:00:00"/>
        <d v="2026-04-12T00:00:00"/>
        <d v="2026-12-27T00:00:00"/>
        <d v="2026-10-17T00:00:00"/>
        <d v="2026-06-09T00:00:00"/>
        <d v="2026-10-13T00:00:00"/>
        <d v="2026-08-06T00:00:00"/>
        <d v="2026-05-05T00:00:00"/>
        <d v="2026-01-03T00:00:00"/>
        <d v="2026-03-03T00:00:00"/>
        <d v="2026-07-15T00:00:00"/>
        <d v="2026-06-25T00:00:00"/>
        <d v="2026-10-21T00:00:00"/>
        <d v="2026-11-08T00:00:00"/>
        <d v="2026-12-21T00:00:00"/>
        <d v="2026-01-31T00:00:00"/>
        <d v="2026-06-17T00:00:00"/>
        <d v="2026-04-05T00:00:00"/>
        <d v="2026-11-13T00:00:00"/>
        <d v="2026-08-12T00:00:00"/>
        <d v="2026-02-28T00:00:00"/>
        <d v="2026-08-19T00:00:00"/>
        <d v="2026-04-14T00:00:00"/>
        <d v="2026-02-14T00:00:00"/>
        <d v="2026-07-27T00:00:00"/>
        <d v="2026-10-11T00:00:00"/>
        <d v="2026-06-04T00:00:00"/>
        <d v="2026-03-22T00:00:00"/>
        <d v="2026-06-22T00:00:00"/>
        <d v="2026-04-16T00:00:00"/>
        <d v="2026-09-08T00:00:00"/>
        <d v="2026-10-05T00:00:00"/>
        <d v="2026-05-26T00:00:00"/>
        <d v="2026-10-12T00:00:00"/>
        <d v="2026-07-20T00:00:00"/>
        <d v="2026-07-12T00:00:00"/>
        <d v="2026-08-23T00:00:00"/>
        <d v="2026-09-16T00:00:00"/>
        <d v="2026-09-04T00:00:00"/>
        <d v="2026-10-18T00:00:00"/>
        <d v="2026-06-10T00:00:00"/>
        <d v="2026-12-17T00:00:00"/>
        <d v="2026-11-05T00:00:00"/>
        <d v="2026-05-21T00:00:00"/>
        <d v="2026-01-27T00:00:00"/>
        <d v="2026-11-09T00:00:00"/>
        <d v="2026-10-01T00:00:00"/>
        <d v="2026-04-11T00:00:00"/>
        <d v="2026-01-02T00:00:00"/>
        <d v="2026-08-11T00:00:00"/>
        <d v="2026-09-10T00:00:00"/>
        <d v="2026-08-29T00:00:00"/>
        <d v="2026-06-23T00:00:00"/>
        <d v="2026-03-28T00:00:00"/>
        <d v="2026-05-31T00:00:00"/>
        <d v="2026-01-28T00:00:00"/>
        <d v="2026-07-28T00:00:00"/>
        <d v="2026-03-20T00:00:00"/>
        <d v="2026-12-09T00:00:00"/>
        <d v="2026-04-08T00:00:00"/>
        <d v="2026-03-31T00:00:00"/>
        <d v="2026-06-01T00:00:00"/>
        <d v="2026-11-23T00:00:00"/>
        <d v="2026-08-17T00:00:00"/>
        <d v="2026-07-11T00:00:00"/>
        <d v="2026-06-24T00:00:00"/>
        <d v="2026-01-06T00:00:00"/>
        <d v="2026-09-18T00:00:00"/>
        <d v="2026-12-10T00:00:00"/>
        <d v="2026-11-19T00:00:00"/>
        <d v="2026-10-19T00:00:00"/>
        <d v="2026-04-23T00:00:00"/>
        <d v="2026-05-29T00:00:00"/>
        <d v="2026-11-29T00:00:00"/>
        <d v="2026-07-01T00:00:00"/>
        <d v="2026-08-13T00:00:00"/>
        <d v="2026-08-31T00:00:00"/>
        <d v="2026-10-16T00:00:00"/>
        <d v="2026-12-06T00:00:00"/>
        <d v="2026-05-08T00:00:00"/>
        <d v="2026-01-17T00:00:00"/>
        <d v="2026-05-23T00:00:00"/>
        <d v="2026-05-22T00:00:00"/>
        <d v="2026-07-18T00:00:00"/>
        <d v="2026-10-14T00:00:00"/>
        <d v="2026-03-11T00:00:00"/>
        <d v="2026-07-16T00:00:00"/>
        <d v="2026-09-24T00:00:00"/>
        <d v="2026-11-25T00:00:00"/>
        <d v="2026-10-25T00:00:00"/>
        <d v="2026-06-29T00:00:00"/>
        <d v="2026-03-18T00:00:00"/>
        <d v="2026-11-04T00:00:00"/>
        <d v="2026-01-14T00:00:00"/>
        <d v="2026-08-15T00:00:00"/>
        <d v="2026-10-10T00:00:00"/>
        <d v="2026-09-07T00:00:00"/>
        <d v="2026-03-02T00:00:00"/>
        <d v="2026-09-13T00:00:00"/>
        <d v="2026-11-21T00:00:00"/>
        <d v="2026-05-25T00:00:00"/>
        <d v="2026-05-10T00:00:00"/>
      </sharedItems>
      <fieldGroup par="15"/>
    </cacheField>
    <cacheField name="Year" numFmtId="0">
      <sharedItems containsSemiMixedTypes="0" containsString="0" containsNumber="1" containsInteger="1" minValue="2026" maxValue="2026" count="1">
        <n v="2026"/>
      </sharedItems>
    </cacheField>
    <cacheField name="Customer ID" numFmtId="0">
      <sharedItems/>
    </cacheField>
    <cacheField name="Customer Name" numFmtId="0">
      <sharedItems count="206">
        <s v="Jesse"/>
        <s v="Sophia"/>
        <s v="Faith"/>
        <s v="Ralph"/>
        <s v="Kevin"/>
        <s v="Roy"/>
        <s v="Donald"/>
        <s v="Emily"/>
        <s v="Piper"/>
        <s v="Noah"/>
        <s v="Harper"/>
        <s v="Allison"/>
        <s v="Maya"/>
        <s v="Jerry"/>
        <s v="Eleanor"/>
        <s v="Louis"/>
        <s v="Walter"/>
        <s v="Brielle"/>
        <s v="Mia"/>
        <s v="Michael"/>
        <s v="Rose"/>
        <s v="Layla"/>
        <s v="Eliza"/>
        <s v="Madeline"/>
        <s v="Zoe"/>
        <s v="Maria"/>
        <s v="Joshua"/>
        <s v="Lillian"/>
        <s v="Dylan"/>
        <s v="Bobby"/>
        <s v="Bradley"/>
        <s v="Jeremy"/>
        <s v="Madison"/>
        <s v="Isabella"/>
        <s v="Charles"/>
        <s v="William"/>
        <s v="Mila"/>
        <s v="Arthur"/>
        <s v="Ashley"/>
        <s v="Elizabeth"/>
        <s v="Riley"/>
        <s v="Jeffrey"/>
        <s v="Sofia"/>
        <s v="Kennedy"/>
        <s v="Savannah"/>
        <s v="Henry"/>
        <s v="Khloe"/>
        <s v="Russell"/>
        <s v="Christopher"/>
        <s v="Alan"/>
        <s v="Lawrence"/>
        <s v="Emery"/>
        <s v="Brian"/>
        <s v="Austin"/>
        <s v="Arya"/>
        <s v="Chloe"/>
        <s v="Justin"/>
        <s v="Harold"/>
        <s v="Benjamin"/>
        <s v="Randy"/>
        <s v="Aubrey"/>
        <s v="Dennis"/>
        <s v="Olivia"/>
        <s v="Lucy"/>
        <s v="Delilah"/>
        <s v="Peter"/>
        <s v="Emilia"/>
        <s v="Vivian"/>
        <s v="Hazel"/>
        <s v="Nova"/>
        <s v="Vincent"/>
        <s v="Jonathan"/>
        <s v="Jason"/>
        <s v="Everly"/>
        <s v="Thomas"/>
        <s v="Kyle"/>
        <s v="Aaliyah"/>
        <s v="Claire"/>
        <s v="Ariana"/>
        <s v="Nathan"/>
        <s v="Christian"/>
        <s v="Madelyn"/>
        <s v="Bruce"/>
        <s v="Adeline"/>
        <s v="Eugene"/>
        <s v="Nicholas"/>
        <s v="Kenneth"/>
        <s v="Leilani"/>
        <s v="Bryan"/>
        <s v="Albert"/>
        <s v="Willow"/>
        <s v="Charlotte"/>
        <s v="Eric"/>
        <s v="Zoey"/>
        <s v="Douglas"/>
        <s v="Stella"/>
        <s v="John"/>
        <s v="Bella"/>
        <s v="Samantha"/>
        <s v="Cora"/>
        <s v="Alaia"/>
        <s v="Anthony"/>
        <s v="Violet"/>
        <s v="David"/>
        <s v="Serenity"/>
        <s v="Quinn"/>
        <s v="Hailey"/>
        <s v="Andrea"/>
        <s v="Gabriel"/>
        <s v="Melody"/>
        <s v="Emma"/>
        <s v="Aria"/>
        <s v="Carl"/>
        <s v="Adam"/>
        <s v="Keith"/>
        <s v="Anna"/>
        <s v="Addison"/>
        <s v="Raelynn"/>
        <s v="Charlie"/>
        <s v="Grace"/>
        <s v="Zachary"/>
        <s v="Ava"/>
        <s v="Josephine"/>
        <s v="Natalie"/>
        <s v="Ximena"/>
        <s v="Ivy"/>
        <s v="James"/>
        <s v="Ellie"/>
        <s v="Julia"/>
        <s v="Kinsley"/>
        <s v="Sarah"/>
        <s v="Paisley"/>
        <s v="Stephen"/>
        <s v="Jacob"/>
        <s v="George"/>
        <s v="Nora"/>
        <s v="Paul"/>
        <s v="Raymond"/>
        <s v="Joseph"/>
        <s v="Alice"/>
        <s v="Jack"/>
        <s v="Audrey"/>
        <s v="Robert"/>
        <s v="Clara"/>
        <s v="Aurora"/>
        <s v="Adalynn"/>
        <s v="Scott"/>
        <s v="Joe"/>
        <s v="Ronald"/>
        <s v="Ryan"/>
        <s v="Skylar"/>
        <s v="Tyler"/>
        <s v="Mackenzie"/>
        <s v="Iris"/>
        <s v="Edward"/>
        <s v="Hadley"/>
        <s v="Gary"/>
        <s v="Steven"/>
        <s v="Philip"/>
        <s v="Rylee"/>
        <s v="Gianna"/>
        <s v="Brooklyn"/>
        <s v="Sean"/>
        <s v="Larry"/>
        <s v="Aaron"/>
        <s v="Eva"/>
        <s v="Matthew"/>
        <s v="Autumn"/>
        <s v="Isla"/>
        <s v="Gabriella"/>
        <s v="Daniel"/>
        <s v="Billy"/>
        <s v="Lily"/>
        <s v="Alexander"/>
        <s v="Naomi"/>
        <s v="Gerald"/>
        <s v="Amelia"/>
        <s v="Jade"/>
        <s v="Evelyn"/>
        <s v="Johnny"/>
        <s v="Liliana"/>
        <s v="Jose"/>
        <s v="Willie"/>
        <s v="Avery"/>
        <s v="Luna"/>
        <s v="Scarlett"/>
        <s v="Everleigh"/>
        <s v="Nevaeh"/>
        <s v="Valentina"/>
        <s v="Gregory"/>
        <s v="Sophie"/>
        <s v="Terry"/>
        <s v="Brandon"/>
        <s v="Camila"/>
        <s v="Abigail"/>
        <s v="Hannah"/>
        <s v="Lydia"/>
        <s v="Penelope"/>
        <s v="Frank"/>
        <s v="Genesis"/>
        <s v="Ethan"/>
        <s v="Ella"/>
        <s v="Logan"/>
        <s v="Mark"/>
        <s v="Natalia"/>
        <s v="Andrew"/>
      </sharedItems>
    </cacheField>
    <cacheField name="Product ID" numFmtId="0">
      <sharedItems/>
    </cacheField>
    <cacheField name="Product Name" numFmtId="0">
      <sharedItems/>
    </cacheField>
    <cacheField name="Item Category" numFmtId="0">
      <sharedItems count="7">
        <s v="Backpack"/>
        <s v="Chair"/>
        <s v="Charger"/>
        <s v="Desk Lamp"/>
        <s v="Notebook"/>
        <s v="Pen Set"/>
        <s v="USB Drive"/>
      </sharedItems>
    </cacheField>
    <cacheField name="Region" numFmtId="0">
      <sharedItems count="4">
        <s v="East"/>
        <s v="North"/>
        <s v="West"/>
        <s v="South"/>
      </sharedItems>
    </cacheField>
    <cacheField name="Quantity Sold" numFmtId="0">
      <sharedItems containsSemiMixedTypes="0" containsString="0" containsNumber="1" containsInteger="1" minValue="1" maxValue="20"/>
    </cacheField>
    <cacheField name="Unit Price" numFmtId="0">
      <sharedItems containsSemiMixedTypes="0" containsString="0" containsNumber="1" minValue="20.350000000000001" maxValue="499.07"/>
    </cacheField>
    <cacheField name="Cost Amount" numFmtId="0">
      <sharedItems containsSemiMixedTypes="0" containsString="0" containsNumber="1" minValue="39.19" maxValue="7075.47"/>
    </cacheField>
    <cacheField name="sales ammount" numFmtId="0">
      <sharedItems containsSemiMixedTypes="0" containsString="0" containsNumber="1" minValue="67.150000000000006" maxValue="9534"/>
    </cacheField>
    <cacheField name="profit" numFmtId="0">
      <sharedItems containsSemiMixedTypes="0" containsString="0" containsNumber="1" minValue="19.519999999999996" maxValue="3647.1499999999996"/>
    </cacheField>
    <cacheField name="sales" numFmtId="0">
      <sharedItems count="3">
        <s v="Low"/>
        <s v="Medium"/>
        <s v="High"/>
      </sharedItems>
    </cacheField>
    <cacheField name="Days (Order Date)" numFmtId="0" databaseField="0">
      <fieldGroup base="0">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Order Date)" numFmtId="0" databaseField="0">
      <fieldGroup base="0">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327369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C039"/>
    <x v="0"/>
    <s v="P005"/>
    <s v="USB Drive 5"/>
    <x v="0"/>
    <x v="0"/>
    <n v="2"/>
    <n v="310.92"/>
    <n v="455.11"/>
    <n v="621.84"/>
    <n v="166.73000000000002"/>
    <x v="0"/>
  </r>
  <r>
    <x v="1"/>
    <x v="0"/>
    <s v="C054"/>
    <x v="1"/>
    <s v="P030"/>
    <s v="Desk Lamp 30"/>
    <x v="0"/>
    <x v="1"/>
    <n v="13"/>
    <n v="35.79"/>
    <n v="321.38"/>
    <n v="465.27"/>
    <n v="143.88999999999999"/>
    <x v="0"/>
  </r>
  <r>
    <x v="2"/>
    <x v="0"/>
    <s v="C010"/>
    <x v="2"/>
    <s v="P005"/>
    <s v="USB Drive 5"/>
    <x v="0"/>
    <x v="0"/>
    <n v="11"/>
    <n v="63.79"/>
    <n v="545.28"/>
    <n v="701.68999999999994"/>
    <n v="156.40999999999997"/>
    <x v="0"/>
  </r>
  <r>
    <x v="3"/>
    <x v="0"/>
    <s v="C011"/>
    <x v="3"/>
    <s v="P042"/>
    <s v="Backpack 42"/>
    <x v="0"/>
    <x v="2"/>
    <n v="11"/>
    <n v="201.37"/>
    <n v="1250.05"/>
    <n v="2215.0700000000002"/>
    <n v="965.02000000000021"/>
    <x v="1"/>
  </r>
  <r>
    <x v="4"/>
    <x v="0"/>
    <s v="C027"/>
    <x v="4"/>
    <s v="P007"/>
    <s v="Pen Set 7"/>
    <x v="0"/>
    <x v="1"/>
    <n v="20"/>
    <n v="98.75"/>
    <n v="1287.8900000000001"/>
    <n v="1975"/>
    <n v="687.1099999999999"/>
    <x v="1"/>
  </r>
  <r>
    <x v="5"/>
    <x v="0"/>
    <s v="C046"/>
    <x v="5"/>
    <s v="P012"/>
    <s v="Chair 12"/>
    <x v="0"/>
    <x v="2"/>
    <n v="11"/>
    <n v="413.88"/>
    <n v="3095.26"/>
    <n v="4552.68"/>
    <n v="1457.42"/>
    <x v="2"/>
  </r>
  <r>
    <x v="6"/>
    <x v="0"/>
    <s v="C065"/>
    <x v="6"/>
    <s v="P012"/>
    <s v="Chair 12"/>
    <x v="0"/>
    <x v="3"/>
    <n v="2"/>
    <n v="498.01"/>
    <n v="600.57000000000005"/>
    <n v="996.02"/>
    <n v="395.44999999999993"/>
    <x v="0"/>
  </r>
  <r>
    <x v="7"/>
    <x v="0"/>
    <s v="C057"/>
    <x v="7"/>
    <s v="P038"/>
    <s v="Charger 38"/>
    <x v="0"/>
    <x v="3"/>
    <n v="17"/>
    <n v="114.21"/>
    <n v="1375.29"/>
    <n v="1941.57"/>
    <n v="566.28"/>
    <x v="1"/>
  </r>
  <r>
    <x v="8"/>
    <x v="0"/>
    <s v="C073"/>
    <x v="8"/>
    <s v="P030"/>
    <s v="Desk Lamp 30"/>
    <x v="0"/>
    <x v="3"/>
    <n v="8"/>
    <n v="43.03"/>
    <n v="218.34"/>
    <n v="344.24"/>
    <n v="125.9"/>
    <x v="0"/>
  </r>
  <r>
    <x v="9"/>
    <x v="0"/>
    <s v="C010"/>
    <x v="9"/>
    <s v="P005"/>
    <s v="USB Drive 5"/>
    <x v="0"/>
    <x v="3"/>
    <n v="4"/>
    <n v="187.73"/>
    <n v="484.83"/>
    <n v="750.92"/>
    <n v="266.08999999999997"/>
    <x v="0"/>
  </r>
  <r>
    <x v="10"/>
    <x v="0"/>
    <s v="C013"/>
    <x v="10"/>
    <s v="P005"/>
    <s v="USB Drive 5"/>
    <x v="0"/>
    <x v="0"/>
    <n v="10"/>
    <n v="112.32"/>
    <n v="712.9"/>
    <n v="1123.1999999999998"/>
    <n v="410.29999999999984"/>
    <x v="0"/>
  </r>
  <r>
    <x v="11"/>
    <x v="0"/>
    <s v="C054"/>
    <x v="11"/>
    <s v="P012"/>
    <s v="Chair 12"/>
    <x v="0"/>
    <x v="0"/>
    <n v="6"/>
    <n v="335.71"/>
    <n v="1168.0899999999999"/>
    <n v="2014.2599999999998"/>
    <n v="846.16999999999985"/>
    <x v="1"/>
  </r>
  <r>
    <x v="12"/>
    <x v="0"/>
    <s v="C025"/>
    <x v="12"/>
    <s v="P012"/>
    <s v="Chair 12"/>
    <x v="0"/>
    <x v="2"/>
    <n v="10"/>
    <n v="376.59"/>
    <n v="3051.03"/>
    <n v="3765.8999999999996"/>
    <n v="714.86999999999944"/>
    <x v="2"/>
  </r>
  <r>
    <x v="13"/>
    <x v="0"/>
    <s v="C011"/>
    <x v="13"/>
    <s v="P042"/>
    <s v="Backpack 42"/>
    <x v="0"/>
    <x v="1"/>
    <n v="4"/>
    <n v="273.18"/>
    <n v="660.65"/>
    <n v="1092.72"/>
    <n v="432.07000000000005"/>
    <x v="0"/>
  </r>
  <r>
    <x v="0"/>
    <x v="0"/>
    <s v="C003"/>
    <x v="14"/>
    <s v="P038"/>
    <s v="Charger 38"/>
    <x v="0"/>
    <x v="3"/>
    <n v="14"/>
    <n v="153.19999999999999"/>
    <n v="1452.04"/>
    <n v="2144.7999999999997"/>
    <n v="692.75999999999976"/>
    <x v="1"/>
  </r>
  <r>
    <x v="14"/>
    <x v="0"/>
    <s v="C052"/>
    <x v="15"/>
    <s v="P030"/>
    <s v="Desk Lamp 30"/>
    <x v="0"/>
    <x v="0"/>
    <n v="7"/>
    <n v="219.37"/>
    <n v="1121.56"/>
    <n v="1535.5900000000001"/>
    <n v="414.0300000000002"/>
    <x v="1"/>
  </r>
  <r>
    <x v="15"/>
    <x v="0"/>
    <s v="C087"/>
    <x v="16"/>
    <s v="P007"/>
    <s v="Pen Set 7"/>
    <x v="0"/>
    <x v="1"/>
    <n v="1"/>
    <n v="436.31"/>
    <n v="284.48"/>
    <n v="436.31"/>
    <n v="151.82999999999998"/>
    <x v="0"/>
  </r>
  <r>
    <x v="16"/>
    <x v="0"/>
    <s v="C081"/>
    <x v="17"/>
    <s v="P030"/>
    <s v="Desk Lamp 30"/>
    <x v="0"/>
    <x v="1"/>
    <n v="5"/>
    <n v="264.85000000000002"/>
    <n v="924.16"/>
    <n v="1324.25"/>
    <n v="400.09000000000003"/>
    <x v="0"/>
  </r>
  <r>
    <x v="17"/>
    <x v="0"/>
    <s v="C099"/>
    <x v="18"/>
    <s v="P042"/>
    <s v="Backpack 42"/>
    <x v="0"/>
    <x v="1"/>
    <n v="18"/>
    <n v="178.93"/>
    <n v="1934.89"/>
    <n v="3220.7400000000002"/>
    <n v="1285.8500000000001"/>
    <x v="2"/>
  </r>
  <r>
    <x v="18"/>
    <x v="0"/>
    <s v="C025"/>
    <x v="19"/>
    <s v="P037"/>
    <s v="Charger 37"/>
    <x v="0"/>
    <x v="1"/>
    <n v="3"/>
    <n v="239.58"/>
    <n v="584.9"/>
    <n v="718.74"/>
    <n v="133.84000000000003"/>
    <x v="0"/>
  </r>
  <r>
    <x v="19"/>
    <x v="0"/>
    <s v="C062"/>
    <x v="20"/>
    <s v="P012"/>
    <s v="Chair 12"/>
    <x v="0"/>
    <x v="0"/>
    <n v="15"/>
    <n v="110.7"/>
    <n v="1149.77"/>
    <n v="1660.5"/>
    <n v="510.73"/>
    <x v="1"/>
  </r>
  <r>
    <x v="20"/>
    <x v="0"/>
    <s v="C097"/>
    <x v="21"/>
    <s v="P038"/>
    <s v="Charger 38"/>
    <x v="0"/>
    <x v="1"/>
    <n v="12"/>
    <n v="342.59"/>
    <n v="2979.09"/>
    <n v="4111.08"/>
    <n v="1131.9899999999998"/>
    <x v="2"/>
  </r>
  <r>
    <x v="21"/>
    <x v="0"/>
    <s v="C028"/>
    <x v="1"/>
    <s v="P007"/>
    <s v="Pen Set 7"/>
    <x v="0"/>
    <x v="1"/>
    <n v="8"/>
    <n v="409.54"/>
    <n v="2333.98"/>
    <n v="3276.32"/>
    <n v="942.34000000000015"/>
    <x v="2"/>
  </r>
  <r>
    <x v="22"/>
    <x v="0"/>
    <s v="C056"/>
    <x v="22"/>
    <s v="P005"/>
    <s v="USB Drive 5"/>
    <x v="0"/>
    <x v="1"/>
    <n v="5"/>
    <n v="239.73"/>
    <n v="864.19"/>
    <n v="1198.6499999999999"/>
    <n v="334.45999999999981"/>
    <x v="0"/>
  </r>
  <r>
    <x v="23"/>
    <x v="0"/>
    <s v="C099"/>
    <x v="23"/>
    <s v="P012"/>
    <s v="Chair 12"/>
    <x v="0"/>
    <x v="1"/>
    <n v="11"/>
    <n v="286.08"/>
    <n v="2238.17"/>
    <n v="3146.8799999999997"/>
    <n v="908.70999999999958"/>
    <x v="2"/>
  </r>
  <r>
    <x v="24"/>
    <x v="0"/>
    <s v="C035"/>
    <x v="24"/>
    <s v="P038"/>
    <s v="Charger 38"/>
    <x v="0"/>
    <x v="2"/>
    <n v="15"/>
    <n v="247.77"/>
    <n v="2386.1999999999998"/>
    <n v="3716.55"/>
    <n v="1330.3500000000004"/>
    <x v="2"/>
  </r>
  <r>
    <x v="25"/>
    <x v="0"/>
    <s v="C007"/>
    <x v="25"/>
    <s v="P007"/>
    <s v="Pen Set 7"/>
    <x v="0"/>
    <x v="0"/>
    <n v="3"/>
    <n v="435.35"/>
    <n v="988.81"/>
    <n v="1306.0500000000002"/>
    <n v="317.24000000000024"/>
    <x v="0"/>
  </r>
  <r>
    <x v="26"/>
    <x v="0"/>
    <s v="C006"/>
    <x v="26"/>
    <s v="P012"/>
    <s v="Chair 12"/>
    <x v="0"/>
    <x v="3"/>
    <n v="6"/>
    <n v="253.73"/>
    <n v="853.37"/>
    <n v="1522.3799999999999"/>
    <n v="669.00999999999988"/>
    <x v="1"/>
  </r>
  <r>
    <x v="27"/>
    <x v="0"/>
    <s v="C024"/>
    <x v="27"/>
    <s v="P007"/>
    <s v="Pen Set 7"/>
    <x v="0"/>
    <x v="2"/>
    <n v="12"/>
    <n v="302.52999999999997"/>
    <n v="2714.93"/>
    <n v="3630.3599999999997"/>
    <n v="915.42999999999984"/>
    <x v="2"/>
  </r>
  <r>
    <x v="28"/>
    <x v="0"/>
    <s v="C032"/>
    <x v="28"/>
    <s v="P012"/>
    <s v="Chair 12"/>
    <x v="0"/>
    <x v="2"/>
    <n v="3"/>
    <n v="391.07"/>
    <n v="934.36"/>
    <n v="1173.21"/>
    <n v="238.85000000000002"/>
    <x v="0"/>
  </r>
  <r>
    <x v="29"/>
    <x v="0"/>
    <s v="C042"/>
    <x v="29"/>
    <s v="P007"/>
    <s v="Pen Set 7"/>
    <x v="0"/>
    <x v="0"/>
    <n v="7"/>
    <n v="30.89"/>
    <n v="143.11000000000001"/>
    <n v="216.23000000000002"/>
    <n v="73.12"/>
    <x v="0"/>
  </r>
  <r>
    <x v="30"/>
    <x v="0"/>
    <s v="C092"/>
    <x v="30"/>
    <s v="P042"/>
    <s v="Backpack 42"/>
    <x v="0"/>
    <x v="1"/>
    <n v="11"/>
    <n v="201.22"/>
    <n v="1682.68"/>
    <n v="2213.42"/>
    <n v="530.74"/>
    <x v="1"/>
  </r>
  <r>
    <x v="31"/>
    <x v="0"/>
    <s v="C057"/>
    <x v="31"/>
    <s v="P005"/>
    <s v="USB Drive 5"/>
    <x v="0"/>
    <x v="0"/>
    <n v="6"/>
    <n v="397.6"/>
    <n v="1332.3"/>
    <n v="2385.6000000000004"/>
    <n v="1053.3000000000004"/>
    <x v="1"/>
  </r>
  <r>
    <x v="32"/>
    <x v="0"/>
    <s v="C051"/>
    <x v="32"/>
    <s v="P038"/>
    <s v="Charger 38"/>
    <x v="0"/>
    <x v="1"/>
    <n v="15"/>
    <n v="256.43"/>
    <n v="3201.67"/>
    <n v="3846.4500000000003"/>
    <n v="644.7800000000002"/>
    <x v="2"/>
  </r>
  <r>
    <x v="4"/>
    <x v="0"/>
    <s v="C042"/>
    <x v="33"/>
    <s v="P030"/>
    <s v="Desk Lamp 30"/>
    <x v="0"/>
    <x v="3"/>
    <n v="17"/>
    <n v="227.68"/>
    <n v="2534.66"/>
    <n v="3870.56"/>
    <n v="1335.9"/>
    <x v="2"/>
  </r>
  <r>
    <x v="33"/>
    <x v="0"/>
    <s v="C066"/>
    <x v="34"/>
    <s v="P037"/>
    <s v="Charger 37"/>
    <x v="0"/>
    <x v="2"/>
    <n v="13"/>
    <n v="108.9"/>
    <n v="980.69"/>
    <n v="1415.7"/>
    <n v="435.01"/>
    <x v="0"/>
  </r>
  <r>
    <x v="34"/>
    <x v="0"/>
    <s v="C033"/>
    <x v="35"/>
    <s v="P042"/>
    <s v="Backpack 42"/>
    <x v="0"/>
    <x v="2"/>
    <n v="12"/>
    <n v="322.32"/>
    <n v="2733.81"/>
    <n v="3867.84"/>
    <n v="1134.0300000000002"/>
    <x v="2"/>
  </r>
  <r>
    <x v="35"/>
    <x v="0"/>
    <s v="C005"/>
    <x v="36"/>
    <s v="P012"/>
    <s v="Chair 12"/>
    <x v="0"/>
    <x v="1"/>
    <n v="17"/>
    <n v="242.35"/>
    <n v="2899.06"/>
    <n v="4119.95"/>
    <n v="1220.8899999999999"/>
    <x v="2"/>
  </r>
  <r>
    <x v="36"/>
    <x v="0"/>
    <s v="C040"/>
    <x v="37"/>
    <s v="P037"/>
    <s v="Charger 37"/>
    <x v="0"/>
    <x v="3"/>
    <n v="13"/>
    <n v="346.41"/>
    <n v="2977.38"/>
    <n v="4503.33"/>
    <n v="1525.9499999999998"/>
    <x v="2"/>
  </r>
  <r>
    <x v="37"/>
    <x v="0"/>
    <s v="C080"/>
    <x v="38"/>
    <s v="P012"/>
    <s v="Chair 12"/>
    <x v="0"/>
    <x v="0"/>
    <n v="10"/>
    <n v="478.47"/>
    <n v="2850.86"/>
    <n v="4784.7000000000007"/>
    <n v="1933.8400000000006"/>
    <x v="2"/>
  </r>
  <r>
    <x v="38"/>
    <x v="0"/>
    <s v="C090"/>
    <x v="39"/>
    <s v="P037"/>
    <s v="Charger 37"/>
    <x v="0"/>
    <x v="1"/>
    <n v="1"/>
    <n v="412.77"/>
    <n v="265.69"/>
    <n v="412.77"/>
    <n v="147.07999999999998"/>
    <x v="0"/>
  </r>
  <r>
    <x v="39"/>
    <x v="0"/>
    <s v="C061"/>
    <x v="27"/>
    <s v="P037"/>
    <s v="Charger 37"/>
    <x v="0"/>
    <x v="2"/>
    <n v="13"/>
    <n v="379.63"/>
    <n v="3950.52"/>
    <n v="4935.1899999999996"/>
    <n v="984.66999999999962"/>
    <x v="2"/>
  </r>
  <r>
    <x v="40"/>
    <x v="0"/>
    <s v="C033"/>
    <x v="40"/>
    <s v="P012"/>
    <s v="Chair 12"/>
    <x v="0"/>
    <x v="0"/>
    <n v="8"/>
    <n v="407.55"/>
    <n v="1955.54"/>
    <n v="3260.4"/>
    <n v="1304.8600000000001"/>
    <x v="2"/>
  </r>
  <r>
    <x v="41"/>
    <x v="0"/>
    <s v="C045"/>
    <x v="41"/>
    <s v="P037"/>
    <s v="Charger 37"/>
    <x v="0"/>
    <x v="0"/>
    <n v="15"/>
    <n v="323.7"/>
    <n v="2883.48"/>
    <n v="4855.5"/>
    <n v="1972.02"/>
    <x v="2"/>
  </r>
  <r>
    <x v="42"/>
    <x v="0"/>
    <s v="C077"/>
    <x v="42"/>
    <s v="P037"/>
    <s v="Charger 37"/>
    <x v="0"/>
    <x v="0"/>
    <n v="17"/>
    <n v="20.350000000000001"/>
    <n v="247.25"/>
    <n v="345.95000000000005"/>
    <n v="98.700000000000045"/>
    <x v="0"/>
  </r>
  <r>
    <x v="43"/>
    <x v="0"/>
    <s v="C068"/>
    <x v="43"/>
    <s v="P042"/>
    <s v="Backpack 42"/>
    <x v="0"/>
    <x v="1"/>
    <n v="5"/>
    <n v="224.07"/>
    <n v="621.99"/>
    <n v="1120.3499999999999"/>
    <n v="498.3599999999999"/>
    <x v="0"/>
  </r>
  <r>
    <x v="44"/>
    <x v="0"/>
    <s v="C082"/>
    <x v="44"/>
    <s v="P012"/>
    <s v="Chair 12"/>
    <x v="0"/>
    <x v="0"/>
    <n v="15"/>
    <n v="150.84"/>
    <n v="1615.99"/>
    <n v="2262.6"/>
    <n v="646.6099999999999"/>
    <x v="1"/>
  </r>
  <r>
    <x v="45"/>
    <x v="0"/>
    <s v="C090"/>
    <x v="45"/>
    <s v="P007"/>
    <s v="Pen Set 7"/>
    <x v="0"/>
    <x v="3"/>
    <n v="10"/>
    <n v="73.599999999999994"/>
    <n v="504.78"/>
    <n v="736"/>
    <n v="231.22000000000003"/>
    <x v="0"/>
  </r>
  <r>
    <x v="36"/>
    <x v="0"/>
    <s v="C083"/>
    <x v="46"/>
    <s v="P030"/>
    <s v="Desk Lamp 30"/>
    <x v="0"/>
    <x v="0"/>
    <n v="8"/>
    <n v="296.11"/>
    <n v="1932.97"/>
    <n v="2368.88"/>
    <n v="435.91000000000008"/>
    <x v="1"/>
  </r>
  <r>
    <x v="46"/>
    <x v="0"/>
    <s v="C090"/>
    <x v="47"/>
    <s v="P024"/>
    <s v="USB Drive 24"/>
    <x v="1"/>
    <x v="2"/>
    <n v="9"/>
    <n v="247.66"/>
    <n v="1320.15"/>
    <n v="2228.94"/>
    <n v="908.79"/>
    <x v="1"/>
  </r>
  <r>
    <x v="47"/>
    <x v="0"/>
    <s v="C030"/>
    <x v="48"/>
    <s v="P033"/>
    <s v="Chair 33"/>
    <x v="1"/>
    <x v="0"/>
    <n v="7"/>
    <n v="378.96"/>
    <n v="1807.54"/>
    <n v="2652.72"/>
    <n v="845.17999999999984"/>
    <x v="1"/>
  </r>
  <r>
    <x v="48"/>
    <x v="0"/>
    <s v="C093"/>
    <x v="49"/>
    <s v="P028"/>
    <s v="Notebook 28"/>
    <x v="1"/>
    <x v="0"/>
    <n v="17"/>
    <n v="206.03"/>
    <n v="2472.84"/>
    <n v="3502.51"/>
    <n v="1029.67"/>
    <x v="2"/>
  </r>
  <r>
    <x v="49"/>
    <x v="0"/>
    <s v="C040"/>
    <x v="50"/>
    <s v="P043"/>
    <s v="USB Drive 43"/>
    <x v="1"/>
    <x v="3"/>
    <n v="20"/>
    <n v="69.069999999999993"/>
    <n v="989.77"/>
    <n v="1381.3999999999999"/>
    <n v="391.62999999999988"/>
    <x v="0"/>
  </r>
  <r>
    <x v="50"/>
    <x v="0"/>
    <s v="C041"/>
    <x v="31"/>
    <s v="P001"/>
    <s v="Desk Lamp 1"/>
    <x v="1"/>
    <x v="3"/>
    <n v="15"/>
    <n v="308.27999999999997"/>
    <n v="3246.51"/>
    <n v="4624.2"/>
    <n v="1377.6899999999996"/>
    <x v="2"/>
  </r>
  <r>
    <x v="51"/>
    <x v="0"/>
    <s v="C028"/>
    <x v="51"/>
    <s v="P041"/>
    <s v="Desk Lamp 41"/>
    <x v="1"/>
    <x v="1"/>
    <n v="11"/>
    <n v="43.42"/>
    <n v="385.22"/>
    <n v="477.62"/>
    <n v="92.399999999999977"/>
    <x v="0"/>
  </r>
  <r>
    <x v="52"/>
    <x v="0"/>
    <s v="C041"/>
    <x v="8"/>
    <s v="P028"/>
    <s v="Notebook 28"/>
    <x v="1"/>
    <x v="0"/>
    <n v="2"/>
    <n v="333.63"/>
    <n v="392.88"/>
    <n v="667.26"/>
    <n v="274.38"/>
    <x v="0"/>
  </r>
  <r>
    <x v="48"/>
    <x v="0"/>
    <s v="C078"/>
    <x v="42"/>
    <s v="P021"/>
    <s v="Notebook 21"/>
    <x v="1"/>
    <x v="3"/>
    <n v="9"/>
    <n v="77.33"/>
    <n v="375.33"/>
    <n v="695.97"/>
    <n v="320.64000000000004"/>
    <x v="0"/>
  </r>
  <r>
    <x v="53"/>
    <x v="0"/>
    <s v="C046"/>
    <x v="28"/>
    <s v="P010"/>
    <s v="Notebook 10"/>
    <x v="1"/>
    <x v="1"/>
    <n v="1"/>
    <n v="251.54"/>
    <n v="133.61000000000001"/>
    <n v="251.54"/>
    <n v="117.92999999999998"/>
    <x v="0"/>
  </r>
  <r>
    <x v="54"/>
    <x v="0"/>
    <s v="C074"/>
    <x v="52"/>
    <s v="P050"/>
    <s v="Backpack 50"/>
    <x v="1"/>
    <x v="3"/>
    <n v="3"/>
    <n v="224.4"/>
    <n v="487.85"/>
    <n v="673.2"/>
    <n v="185.35000000000002"/>
    <x v="0"/>
  </r>
  <r>
    <x v="55"/>
    <x v="0"/>
    <s v="C061"/>
    <x v="53"/>
    <s v="P010"/>
    <s v="Notebook 10"/>
    <x v="1"/>
    <x v="0"/>
    <n v="9"/>
    <n v="21.89"/>
    <n v="121.32"/>
    <n v="197.01"/>
    <n v="75.69"/>
    <x v="0"/>
  </r>
  <r>
    <x v="56"/>
    <x v="0"/>
    <s v="C022"/>
    <x v="54"/>
    <s v="P001"/>
    <s v="Desk Lamp 1"/>
    <x v="1"/>
    <x v="2"/>
    <n v="6"/>
    <n v="244.51"/>
    <n v="1125.9000000000001"/>
    <n v="1467.06"/>
    <n v="341.15999999999985"/>
    <x v="0"/>
  </r>
  <r>
    <x v="57"/>
    <x v="0"/>
    <s v="C036"/>
    <x v="42"/>
    <s v="P041"/>
    <s v="Desk Lamp 41"/>
    <x v="1"/>
    <x v="0"/>
    <n v="10"/>
    <n v="343.27"/>
    <n v="2108.08"/>
    <n v="3432.7"/>
    <n v="1324.62"/>
    <x v="2"/>
  </r>
  <r>
    <x v="58"/>
    <x v="0"/>
    <s v="C071"/>
    <x v="30"/>
    <s v="P001"/>
    <s v="Desk Lamp 1"/>
    <x v="1"/>
    <x v="2"/>
    <n v="19"/>
    <n v="171.6"/>
    <n v="2650.42"/>
    <n v="3260.4"/>
    <n v="609.98"/>
    <x v="2"/>
  </r>
  <r>
    <x v="59"/>
    <x v="0"/>
    <s v="C042"/>
    <x v="55"/>
    <s v="P048"/>
    <s v="Desk Lamp 48"/>
    <x v="1"/>
    <x v="3"/>
    <n v="2"/>
    <n v="346.03"/>
    <n v="505.71"/>
    <n v="692.06"/>
    <n v="186.34999999999997"/>
    <x v="0"/>
  </r>
  <r>
    <x v="60"/>
    <x v="0"/>
    <s v="C081"/>
    <x v="6"/>
    <s v="P032"/>
    <s v="USB Drive 32"/>
    <x v="1"/>
    <x v="0"/>
    <n v="18"/>
    <n v="37.06"/>
    <n v="361.59"/>
    <n v="667.08"/>
    <n v="305.49000000000007"/>
    <x v="0"/>
  </r>
  <r>
    <x v="61"/>
    <x v="0"/>
    <s v="C093"/>
    <x v="56"/>
    <s v="P033"/>
    <s v="Chair 33"/>
    <x v="1"/>
    <x v="2"/>
    <n v="18"/>
    <n v="234.05"/>
    <n v="2297.8000000000002"/>
    <n v="4212.9000000000005"/>
    <n v="1915.1000000000004"/>
    <x v="2"/>
  </r>
  <r>
    <x v="48"/>
    <x v="0"/>
    <s v="C050"/>
    <x v="57"/>
    <s v="P048"/>
    <s v="Desk Lamp 48"/>
    <x v="1"/>
    <x v="1"/>
    <n v="2"/>
    <n v="45.83"/>
    <n v="72.14"/>
    <n v="91.66"/>
    <n v="19.519999999999996"/>
    <x v="0"/>
  </r>
  <r>
    <x v="62"/>
    <x v="0"/>
    <s v="C003"/>
    <x v="58"/>
    <s v="P028"/>
    <s v="Notebook 28"/>
    <x v="1"/>
    <x v="0"/>
    <n v="15"/>
    <n v="132.94999999999999"/>
    <n v="1248.17"/>
    <n v="1994.2499999999998"/>
    <n v="746.0799999999997"/>
    <x v="1"/>
  </r>
  <r>
    <x v="63"/>
    <x v="0"/>
    <s v="C063"/>
    <x v="59"/>
    <s v="P043"/>
    <s v="USB Drive 43"/>
    <x v="1"/>
    <x v="3"/>
    <n v="4"/>
    <n v="404.46"/>
    <n v="998"/>
    <n v="1617.84"/>
    <n v="619.83999999999992"/>
    <x v="1"/>
  </r>
  <r>
    <x v="64"/>
    <x v="0"/>
    <s v="C022"/>
    <x v="26"/>
    <s v="P021"/>
    <s v="Notebook 21"/>
    <x v="1"/>
    <x v="0"/>
    <n v="13"/>
    <n v="284.56"/>
    <n v="2324"/>
    <n v="3699.28"/>
    <n v="1375.2800000000002"/>
    <x v="2"/>
  </r>
  <r>
    <x v="65"/>
    <x v="0"/>
    <s v="C038"/>
    <x v="60"/>
    <s v="P041"/>
    <s v="Desk Lamp 41"/>
    <x v="1"/>
    <x v="3"/>
    <n v="5"/>
    <n v="443.57"/>
    <n v="1580.24"/>
    <n v="2217.85"/>
    <n v="637.6099999999999"/>
    <x v="1"/>
  </r>
  <r>
    <x v="66"/>
    <x v="0"/>
    <s v="C055"/>
    <x v="61"/>
    <s v="P047"/>
    <s v="Pen Set 47"/>
    <x v="1"/>
    <x v="1"/>
    <n v="12"/>
    <n v="215.9"/>
    <n v="1696.77"/>
    <n v="2590.8000000000002"/>
    <n v="894.0300000000002"/>
    <x v="1"/>
  </r>
  <r>
    <x v="67"/>
    <x v="0"/>
    <s v="C002"/>
    <x v="62"/>
    <s v="P010"/>
    <s v="Notebook 10"/>
    <x v="1"/>
    <x v="3"/>
    <n v="11"/>
    <n v="292.58999999999997"/>
    <n v="2444.7399999999998"/>
    <n v="3218.49"/>
    <n v="773.75"/>
    <x v="2"/>
  </r>
  <r>
    <x v="68"/>
    <x v="0"/>
    <s v="C023"/>
    <x v="63"/>
    <s v="P043"/>
    <s v="USB Drive 43"/>
    <x v="1"/>
    <x v="3"/>
    <n v="9"/>
    <n v="133.11000000000001"/>
    <n v="755.77"/>
    <n v="1197.9900000000002"/>
    <n v="442.22000000000025"/>
    <x v="0"/>
  </r>
  <r>
    <x v="69"/>
    <x v="0"/>
    <s v="C083"/>
    <x v="64"/>
    <s v="P041"/>
    <s v="Desk Lamp 41"/>
    <x v="1"/>
    <x v="0"/>
    <n v="8"/>
    <n v="37.770000000000003"/>
    <n v="204.44"/>
    <n v="302.16000000000003"/>
    <n v="97.720000000000027"/>
    <x v="0"/>
  </r>
  <r>
    <x v="70"/>
    <x v="0"/>
    <s v="C003"/>
    <x v="0"/>
    <s v="P001"/>
    <s v="Desk Lamp 1"/>
    <x v="1"/>
    <x v="0"/>
    <n v="7"/>
    <n v="48.73"/>
    <n v="182.38"/>
    <n v="341.10999999999996"/>
    <n v="158.72999999999996"/>
    <x v="0"/>
  </r>
  <r>
    <x v="71"/>
    <x v="0"/>
    <s v="C077"/>
    <x v="2"/>
    <s v="P048"/>
    <s v="Desk Lamp 48"/>
    <x v="1"/>
    <x v="3"/>
    <n v="3"/>
    <n v="355.71"/>
    <n v="555.44000000000005"/>
    <n v="1067.1299999999999"/>
    <n v="511.68999999999983"/>
    <x v="0"/>
  </r>
  <r>
    <x v="72"/>
    <x v="0"/>
    <s v="C088"/>
    <x v="36"/>
    <s v="P021"/>
    <s v="Notebook 21"/>
    <x v="1"/>
    <x v="2"/>
    <n v="3"/>
    <n v="87.42"/>
    <n v="197.17"/>
    <n v="262.26"/>
    <n v="65.09"/>
    <x v="0"/>
  </r>
  <r>
    <x v="73"/>
    <x v="0"/>
    <s v="C007"/>
    <x v="65"/>
    <s v="P021"/>
    <s v="Notebook 21"/>
    <x v="1"/>
    <x v="2"/>
    <n v="5"/>
    <n v="384.53"/>
    <n v="1557.04"/>
    <n v="1922.6499999999999"/>
    <n v="365.6099999999999"/>
    <x v="1"/>
  </r>
  <r>
    <x v="74"/>
    <x v="0"/>
    <s v="C081"/>
    <x v="66"/>
    <s v="P024"/>
    <s v="USB Drive 24"/>
    <x v="1"/>
    <x v="0"/>
    <n v="5"/>
    <n v="489.97"/>
    <n v="1667.25"/>
    <n v="2449.8500000000004"/>
    <n v="782.60000000000036"/>
    <x v="1"/>
  </r>
  <r>
    <x v="75"/>
    <x v="0"/>
    <s v="C001"/>
    <x v="67"/>
    <s v="P024"/>
    <s v="USB Drive 24"/>
    <x v="1"/>
    <x v="2"/>
    <n v="4"/>
    <n v="303.33999999999997"/>
    <n v="865.96"/>
    <n v="1213.3599999999999"/>
    <n v="347.39999999999986"/>
    <x v="0"/>
  </r>
  <r>
    <x v="46"/>
    <x v="0"/>
    <s v="C040"/>
    <x v="68"/>
    <s v="P048"/>
    <s v="Desk Lamp 48"/>
    <x v="1"/>
    <x v="1"/>
    <n v="12"/>
    <n v="378.71"/>
    <n v="3183.38"/>
    <n v="4544.5199999999995"/>
    <n v="1361.1399999999994"/>
    <x v="2"/>
  </r>
  <r>
    <x v="76"/>
    <x v="0"/>
    <s v="C027"/>
    <x v="69"/>
    <s v="P010"/>
    <s v="Notebook 10"/>
    <x v="1"/>
    <x v="1"/>
    <n v="14"/>
    <n v="258.05"/>
    <n v="2375.75"/>
    <n v="3612.7000000000003"/>
    <n v="1236.9500000000003"/>
    <x v="2"/>
  </r>
  <r>
    <x v="77"/>
    <x v="0"/>
    <s v="C030"/>
    <x v="70"/>
    <s v="P047"/>
    <s v="Pen Set 47"/>
    <x v="1"/>
    <x v="3"/>
    <n v="11"/>
    <n v="290.02999999999997"/>
    <n v="2607.48"/>
    <n v="3190.33"/>
    <n v="582.84999999999991"/>
    <x v="2"/>
  </r>
  <r>
    <x v="63"/>
    <x v="0"/>
    <s v="C006"/>
    <x v="71"/>
    <s v="P048"/>
    <s v="Desk Lamp 48"/>
    <x v="1"/>
    <x v="1"/>
    <n v="8"/>
    <n v="137.65"/>
    <n v="794.58"/>
    <n v="1101.2"/>
    <n v="306.62"/>
    <x v="0"/>
  </r>
  <r>
    <x v="78"/>
    <x v="0"/>
    <s v="C076"/>
    <x v="72"/>
    <s v="P001"/>
    <s v="Desk Lamp 1"/>
    <x v="1"/>
    <x v="2"/>
    <n v="4"/>
    <n v="44.76"/>
    <n v="98.19"/>
    <n v="179.04"/>
    <n v="80.849999999999994"/>
    <x v="0"/>
  </r>
  <r>
    <x v="79"/>
    <x v="0"/>
    <s v="C013"/>
    <x v="73"/>
    <s v="P021"/>
    <s v="Notebook 21"/>
    <x v="1"/>
    <x v="1"/>
    <n v="10"/>
    <n v="495.46"/>
    <n v="2775.05"/>
    <n v="4954.5999999999995"/>
    <n v="2179.5499999999993"/>
    <x v="2"/>
  </r>
  <r>
    <x v="76"/>
    <x v="0"/>
    <s v="C047"/>
    <x v="74"/>
    <s v="P028"/>
    <s v="Notebook 28"/>
    <x v="1"/>
    <x v="3"/>
    <n v="12"/>
    <n v="282.08999999999997"/>
    <n v="2201.5700000000002"/>
    <n v="3385.08"/>
    <n v="1183.5099999999998"/>
    <x v="2"/>
  </r>
  <r>
    <x v="80"/>
    <x v="0"/>
    <s v="C058"/>
    <x v="75"/>
    <s v="P032"/>
    <s v="USB Drive 32"/>
    <x v="1"/>
    <x v="3"/>
    <n v="1"/>
    <n v="161.99"/>
    <n v="113.57"/>
    <n v="161.99"/>
    <n v="48.420000000000016"/>
    <x v="0"/>
  </r>
  <r>
    <x v="81"/>
    <x v="0"/>
    <s v="C044"/>
    <x v="76"/>
    <s v="P001"/>
    <s v="Desk Lamp 1"/>
    <x v="1"/>
    <x v="0"/>
    <n v="2"/>
    <n v="88.36"/>
    <n v="122.85"/>
    <n v="176.72"/>
    <n v="53.870000000000005"/>
    <x v="0"/>
  </r>
  <r>
    <x v="82"/>
    <x v="0"/>
    <s v="C075"/>
    <x v="0"/>
    <s v="P047"/>
    <s v="Pen Set 47"/>
    <x v="1"/>
    <x v="2"/>
    <n v="7"/>
    <n v="339.79"/>
    <n v="1733.63"/>
    <n v="2378.5300000000002"/>
    <n v="644.90000000000009"/>
    <x v="1"/>
  </r>
  <r>
    <x v="83"/>
    <x v="0"/>
    <s v="C049"/>
    <x v="77"/>
    <s v="P010"/>
    <s v="Notebook 10"/>
    <x v="1"/>
    <x v="1"/>
    <n v="4"/>
    <n v="396.2"/>
    <n v="1138.72"/>
    <n v="1584.8"/>
    <n v="446.07999999999993"/>
    <x v="1"/>
  </r>
  <r>
    <x v="84"/>
    <x v="0"/>
    <s v="C022"/>
    <x v="45"/>
    <s v="P010"/>
    <s v="Notebook 10"/>
    <x v="1"/>
    <x v="0"/>
    <n v="8"/>
    <n v="262.14999999999998"/>
    <n v="1406.38"/>
    <n v="2097.1999999999998"/>
    <n v="690.81999999999971"/>
    <x v="1"/>
  </r>
  <r>
    <x v="85"/>
    <x v="0"/>
    <s v="C072"/>
    <x v="78"/>
    <s v="P021"/>
    <s v="Notebook 21"/>
    <x v="1"/>
    <x v="0"/>
    <n v="19"/>
    <n v="49.28"/>
    <n v="558.67999999999995"/>
    <n v="936.32"/>
    <n v="377.6400000000001"/>
    <x v="0"/>
  </r>
  <r>
    <x v="50"/>
    <x v="0"/>
    <s v="C028"/>
    <x v="79"/>
    <s v="P024"/>
    <s v="USB Drive 24"/>
    <x v="1"/>
    <x v="2"/>
    <n v="12"/>
    <n v="79.38"/>
    <n v="560.98"/>
    <n v="952.56"/>
    <n v="391.57999999999993"/>
    <x v="0"/>
  </r>
  <r>
    <x v="86"/>
    <x v="0"/>
    <s v="C016"/>
    <x v="80"/>
    <s v="P048"/>
    <s v="Desk Lamp 48"/>
    <x v="1"/>
    <x v="3"/>
    <n v="4"/>
    <n v="175.82"/>
    <n v="459.99"/>
    <n v="703.28"/>
    <n v="243.28999999999996"/>
    <x v="0"/>
  </r>
  <r>
    <x v="87"/>
    <x v="0"/>
    <s v="C011"/>
    <x v="81"/>
    <s v="P043"/>
    <s v="USB Drive 43"/>
    <x v="1"/>
    <x v="1"/>
    <n v="4"/>
    <n v="489.6"/>
    <n v="1139.3800000000001"/>
    <n v="1958.4"/>
    <n v="819.02"/>
    <x v="1"/>
  </r>
  <r>
    <x v="88"/>
    <x v="0"/>
    <s v="C080"/>
    <x v="59"/>
    <s v="P028"/>
    <s v="Notebook 28"/>
    <x v="1"/>
    <x v="0"/>
    <n v="18"/>
    <n v="29.69"/>
    <n v="370.29"/>
    <n v="534.42000000000007"/>
    <n v="164.13000000000005"/>
    <x v="0"/>
  </r>
  <r>
    <x v="89"/>
    <x v="0"/>
    <s v="C031"/>
    <x v="82"/>
    <s v="P048"/>
    <s v="Desk Lamp 48"/>
    <x v="1"/>
    <x v="3"/>
    <n v="11"/>
    <n v="450.42"/>
    <n v="2791.75"/>
    <n v="4954.62"/>
    <n v="2162.87"/>
    <x v="2"/>
  </r>
  <r>
    <x v="90"/>
    <x v="0"/>
    <s v="C054"/>
    <x v="83"/>
    <s v="P041"/>
    <s v="Desk Lamp 41"/>
    <x v="1"/>
    <x v="2"/>
    <n v="5"/>
    <n v="331.57"/>
    <n v="1108.67"/>
    <n v="1657.85"/>
    <n v="549.17999999999984"/>
    <x v="1"/>
  </r>
  <r>
    <x v="77"/>
    <x v="0"/>
    <s v="C045"/>
    <x v="25"/>
    <s v="P001"/>
    <s v="Desk Lamp 1"/>
    <x v="1"/>
    <x v="3"/>
    <n v="9"/>
    <n v="325.83999999999997"/>
    <n v="1778.77"/>
    <n v="2932.56"/>
    <n v="1153.79"/>
    <x v="1"/>
  </r>
  <r>
    <x v="19"/>
    <x v="0"/>
    <s v="C070"/>
    <x v="73"/>
    <s v="P028"/>
    <s v="Notebook 28"/>
    <x v="1"/>
    <x v="3"/>
    <n v="9"/>
    <n v="380.67"/>
    <n v="1940.48"/>
    <n v="3426.03"/>
    <n v="1485.5500000000002"/>
    <x v="2"/>
  </r>
  <r>
    <x v="91"/>
    <x v="0"/>
    <s v="C063"/>
    <x v="84"/>
    <s v="P032"/>
    <s v="USB Drive 32"/>
    <x v="1"/>
    <x v="1"/>
    <n v="7"/>
    <n v="298.75"/>
    <n v="1152.0899999999999"/>
    <n v="2091.25"/>
    <n v="939.16000000000008"/>
    <x v="1"/>
  </r>
  <r>
    <x v="70"/>
    <x v="0"/>
    <s v="C089"/>
    <x v="85"/>
    <s v="P032"/>
    <s v="USB Drive 32"/>
    <x v="1"/>
    <x v="1"/>
    <n v="11"/>
    <n v="95.09"/>
    <n v="765.52"/>
    <n v="1045.99"/>
    <n v="280.47000000000003"/>
    <x v="0"/>
  </r>
  <r>
    <x v="92"/>
    <x v="0"/>
    <s v="C075"/>
    <x v="86"/>
    <s v="P021"/>
    <s v="Notebook 21"/>
    <x v="1"/>
    <x v="3"/>
    <n v="5"/>
    <n v="328.25"/>
    <n v="952.99"/>
    <n v="1641.25"/>
    <n v="688.26"/>
    <x v="1"/>
  </r>
  <r>
    <x v="93"/>
    <x v="0"/>
    <s v="C024"/>
    <x v="3"/>
    <s v="P047"/>
    <s v="Pen Set 47"/>
    <x v="1"/>
    <x v="2"/>
    <n v="4"/>
    <n v="440.45"/>
    <n v="1165.46"/>
    <n v="1761.8"/>
    <n v="596.33999999999992"/>
    <x v="1"/>
  </r>
  <r>
    <x v="94"/>
    <x v="0"/>
    <s v="C033"/>
    <x v="50"/>
    <s v="P033"/>
    <s v="Chair 33"/>
    <x v="1"/>
    <x v="1"/>
    <n v="10"/>
    <n v="394.46"/>
    <n v="2649.43"/>
    <n v="3944.6"/>
    <n v="1295.17"/>
    <x v="2"/>
  </r>
  <r>
    <x v="53"/>
    <x v="0"/>
    <s v="C052"/>
    <x v="87"/>
    <s v="P032"/>
    <s v="USB Drive 32"/>
    <x v="1"/>
    <x v="3"/>
    <n v="14"/>
    <n v="280.11"/>
    <n v="2820.56"/>
    <n v="3921.54"/>
    <n v="1100.98"/>
    <x v="2"/>
  </r>
  <r>
    <x v="95"/>
    <x v="0"/>
    <s v="C087"/>
    <x v="14"/>
    <s v="P043"/>
    <s v="USB Drive 43"/>
    <x v="1"/>
    <x v="2"/>
    <n v="17"/>
    <n v="113.1"/>
    <n v="1170.98"/>
    <n v="1922.6999999999998"/>
    <n v="751.7199999999998"/>
    <x v="1"/>
  </r>
  <r>
    <x v="96"/>
    <x v="0"/>
    <s v="C005"/>
    <x v="88"/>
    <s v="P021"/>
    <s v="Notebook 21"/>
    <x v="1"/>
    <x v="0"/>
    <n v="18"/>
    <n v="245.96"/>
    <n v="2545.2199999999998"/>
    <n v="4427.28"/>
    <n v="1882.06"/>
    <x v="2"/>
  </r>
  <r>
    <x v="97"/>
    <x v="0"/>
    <s v="C044"/>
    <x v="89"/>
    <s v="P001"/>
    <s v="Desk Lamp 1"/>
    <x v="1"/>
    <x v="2"/>
    <n v="18"/>
    <n v="159.83000000000001"/>
    <n v="2395.36"/>
    <n v="2876.94"/>
    <n v="481.57999999999993"/>
    <x v="1"/>
  </r>
  <r>
    <x v="98"/>
    <x v="0"/>
    <s v="C058"/>
    <x v="18"/>
    <s v="P050"/>
    <s v="Backpack 50"/>
    <x v="1"/>
    <x v="3"/>
    <n v="4"/>
    <n v="414.65"/>
    <n v="1069.78"/>
    <n v="1658.6"/>
    <n v="588.81999999999994"/>
    <x v="1"/>
  </r>
  <r>
    <x v="65"/>
    <x v="0"/>
    <s v="C034"/>
    <x v="90"/>
    <s v="P041"/>
    <s v="Desk Lamp 41"/>
    <x v="1"/>
    <x v="1"/>
    <n v="11"/>
    <n v="451.43"/>
    <n v="3179.85"/>
    <n v="4965.7300000000005"/>
    <n v="1785.8800000000006"/>
    <x v="2"/>
  </r>
  <r>
    <x v="99"/>
    <x v="0"/>
    <s v="C053"/>
    <x v="91"/>
    <s v="P041"/>
    <s v="Desk Lamp 41"/>
    <x v="1"/>
    <x v="1"/>
    <n v="2"/>
    <n v="216"/>
    <n v="240.41"/>
    <n v="432"/>
    <n v="191.59"/>
    <x v="0"/>
  </r>
  <r>
    <x v="100"/>
    <x v="0"/>
    <s v="C097"/>
    <x v="34"/>
    <s v="P010"/>
    <s v="Notebook 10"/>
    <x v="1"/>
    <x v="3"/>
    <n v="9"/>
    <n v="424.67"/>
    <n v="2260.39"/>
    <n v="3822.03"/>
    <n v="1561.6400000000003"/>
    <x v="2"/>
  </r>
  <r>
    <x v="101"/>
    <x v="0"/>
    <s v="C032"/>
    <x v="92"/>
    <s v="P033"/>
    <s v="Chair 33"/>
    <x v="1"/>
    <x v="2"/>
    <n v="1"/>
    <n v="294.76"/>
    <n v="220.96"/>
    <n v="294.76"/>
    <n v="73.799999999999983"/>
    <x v="0"/>
  </r>
  <r>
    <x v="102"/>
    <x v="0"/>
    <s v="C049"/>
    <x v="19"/>
    <s v="P033"/>
    <s v="Chair 33"/>
    <x v="1"/>
    <x v="3"/>
    <n v="16"/>
    <n v="260.06"/>
    <n v="2550.31"/>
    <n v="4160.96"/>
    <n v="1610.65"/>
    <x v="2"/>
  </r>
  <r>
    <x v="103"/>
    <x v="0"/>
    <s v="C045"/>
    <x v="20"/>
    <s v="P010"/>
    <s v="Notebook 10"/>
    <x v="1"/>
    <x v="1"/>
    <n v="11"/>
    <n v="368.9"/>
    <n v="2709.36"/>
    <n v="4057.8999999999996"/>
    <n v="1348.5399999999995"/>
    <x v="2"/>
  </r>
  <r>
    <x v="7"/>
    <x v="0"/>
    <s v="C011"/>
    <x v="93"/>
    <s v="P010"/>
    <s v="Notebook 10"/>
    <x v="1"/>
    <x v="2"/>
    <n v="12"/>
    <n v="115.44"/>
    <n v="1003.02"/>
    <n v="1385.28"/>
    <n v="382.26"/>
    <x v="0"/>
  </r>
  <r>
    <x v="104"/>
    <x v="0"/>
    <s v="C005"/>
    <x v="94"/>
    <s v="P028"/>
    <s v="Notebook 28"/>
    <x v="1"/>
    <x v="1"/>
    <n v="6"/>
    <n v="260.3"/>
    <n v="958.79"/>
    <n v="1561.8000000000002"/>
    <n v="603.01000000000022"/>
    <x v="1"/>
  </r>
  <r>
    <x v="105"/>
    <x v="0"/>
    <s v="C013"/>
    <x v="95"/>
    <s v="P041"/>
    <s v="Desk Lamp 41"/>
    <x v="1"/>
    <x v="0"/>
    <n v="9"/>
    <n v="472.84"/>
    <n v="3615.86"/>
    <n v="4255.5599999999995"/>
    <n v="639.69999999999936"/>
    <x v="2"/>
  </r>
  <r>
    <x v="106"/>
    <x v="0"/>
    <s v="C007"/>
    <x v="18"/>
    <s v="P021"/>
    <s v="Notebook 21"/>
    <x v="1"/>
    <x v="0"/>
    <n v="13"/>
    <n v="359.21"/>
    <n v="2853.15"/>
    <n v="4669.7299999999996"/>
    <n v="1816.5799999999995"/>
    <x v="2"/>
  </r>
  <r>
    <x v="107"/>
    <x v="0"/>
    <s v="C049"/>
    <x v="29"/>
    <s v="P010"/>
    <s v="Notebook 10"/>
    <x v="1"/>
    <x v="0"/>
    <n v="10"/>
    <n v="480.68"/>
    <n v="3956.1"/>
    <n v="4806.8"/>
    <n v="850.70000000000027"/>
    <x v="2"/>
  </r>
  <r>
    <x v="108"/>
    <x v="0"/>
    <s v="C050"/>
    <x v="96"/>
    <s v="P024"/>
    <s v="USB Drive 24"/>
    <x v="1"/>
    <x v="2"/>
    <n v="18"/>
    <n v="231.04"/>
    <n v="3119.07"/>
    <n v="4158.72"/>
    <n v="1039.6500000000001"/>
    <x v="2"/>
  </r>
  <r>
    <x v="109"/>
    <x v="0"/>
    <s v="C002"/>
    <x v="97"/>
    <s v="P033"/>
    <s v="Chair 33"/>
    <x v="1"/>
    <x v="2"/>
    <n v="6"/>
    <n v="81.86"/>
    <n v="306.73"/>
    <n v="491.15999999999997"/>
    <n v="184.42999999999995"/>
    <x v="0"/>
  </r>
  <r>
    <x v="110"/>
    <x v="0"/>
    <s v="C061"/>
    <x v="98"/>
    <s v="P024"/>
    <s v="USB Drive 24"/>
    <x v="1"/>
    <x v="3"/>
    <n v="15"/>
    <n v="177.75"/>
    <n v="1769.54"/>
    <n v="2666.25"/>
    <n v="896.71"/>
    <x v="1"/>
  </r>
  <r>
    <x v="111"/>
    <x v="0"/>
    <s v="C098"/>
    <x v="99"/>
    <s v="P043"/>
    <s v="USB Drive 43"/>
    <x v="1"/>
    <x v="1"/>
    <n v="13"/>
    <n v="146.93"/>
    <n v="1117.3"/>
    <n v="1910.0900000000001"/>
    <n v="792.79000000000019"/>
    <x v="1"/>
  </r>
  <r>
    <x v="112"/>
    <x v="0"/>
    <s v="C028"/>
    <x v="63"/>
    <s v="P021"/>
    <s v="Notebook 21"/>
    <x v="1"/>
    <x v="3"/>
    <n v="10"/>
    <n v="117.79"/>
    <n v="835.09"/>
    <n v="1177.9000000000001"/>
    <n v="342.81000000000006"/>
    <x v="0"/>
  </r>
  <r>
    <x v="113"/>
    <x v="0"/>
    <s v="C066"/>
    <x v="21"/>
    <s v="P010"/>
    <s v="Notebook 10"/>
    <x v="1"/>
    <x v="0"/>
    <n v="1"/>
    <n v="67.150000000000006"/>
    <n v="39.19"/>
    <n v="67.150000000000006"/>
    <n v="27.960000000000008"/>
    <x v="0"/>
  </r>
  <r>
    <x v="57"/>
    <x v="0"/>
    <s v="C039"/>
    <x v="100"/>
    <s v="P021"/>
    <s v="Notebook 21"/>
    <x v="1"/>
    <x v="2"/>
    <n v="4"/>
    <n v="160.66999999999999"/>
    <n v="492.91"/>
    <n v="642.67999999999995"/>
    <n v="149.76999999999992"/>
    <x v="0"/>
  </r>
  <r>
    <x v="107"/>
    <x v="0"/>
    <s v="C087"/>
    <x v="29"/>
    <s v="P024"/>
    <s v="USB Drive 24"/>
    <x v="1"/>
    <x v="2"/>
    <n v="14"/>
    <n v="87.8"/>
    <n v="814.17"/>
    <n v="1229.2"/>
    <n v="415.03000000000009"/>
    <x v="0"/>
  </r>
  <r>
    <x v="6"/>
    <x v="0"/>
    <s v="C011"/>
    <x v="77"/>
    <s v="P032"/>
    <s v="USB Drive 32"/>
    <x v="1"/>
    <x v="3"/>
    <n v="7"/>
    <n v="48.79"/>
    <n v="226"/>
    <n v="341.53"/>
    <n v="115.52999999999997"/>
    <x v="0"/>
  </r>
  <r>
    <x v="114"/>
    <x v="0"/>
    <s v="C047"/>
    <x v="73"/>
    <s v="P041"/>
    <s v="Desk Lamp 41"/>
    <x v="1"/>
    <x v="2"/>
    <n v="9"/>
    <n v="115.23"/>
    <n v="634.88"/>
    <n v="1037.07"/>
    <n v="402.18999999999994"/>
    <x v="0"/>
  </r>
  <r>
    <x v="115"/>
    <x v="0"/>
    <s v="C072"/>
    <x v="60"/>
    <s v="P024"/>
    <s v="USB Drive 24"/>
    <x v="1"/>
    <x v="0"/>
    <n v="13"/>
    <n v="151.27000000000001"/>
    <n v="1320.47"/>
    <n v="1966.5100000000002"/>
    <n v="646.04000000000019"/>
    <x v="1"/>
  </r>
  <r>
    <x v="115"/>
    <x v="0"/>
    <s v="C029"/>
    <x v="101"/>
    <s v="P048"/>
    <s v="Desk Lamp 48"/>
    <x v="1"/>
    <x v="3"/>
    <n v="12"/>
    <n v="79.34"/>
    <n v="499.35"/>
    <n v="952.08"/>
    <n v="452.73"/>
    <x v="0"/>
  </r>
  <r>
    <x v="116"/>
    <x v="0"/>
    <s v="C001"/>
    <x v="102"/>
    <s v="P033"/>
    <s v="Chair 33"/>
    <x v="1"/>
    <x v="1"/>
    <n v="2"/>
    <n v="87.64"/>
    <n v="108.57"/>
    <n v="175.28"/>
    <n v="66.710000000000008"/>
    <x v="0"/>
  </r>
  <r>
    <x v="42"/>
    <x v="0"/>
    <s v="C056"/>
    <x v="91"/>
    <s v="P043"/>
    <s v="USB Drive 43"/>
    <x v="1"/>
    <x v="2"/>
    <n v="11"/>
    <n v="58.38"/>
    <n v="506.39"/>
    <n v="642.18000000000006"/>
    <n v="135.79000000000008"/>
    <x v="0"/>
  </r>
  <r>
    <x v="70"/>
    <x v="0"/>
    <s v="C072"/>
    <x v="103"/>
    <s v="P021"/>
    <s v="Notebook 21"/>
    <x v="1"/>
    <x v="1"/>
    <n v="10"/>
    <n v="69.89"/>
    <n v="420.11"/>
    <n v="698.9"/>
    <n v="278.78999999999996"/>
    <x v="0"/>
  </r>
  <r>
    <x v="117"/>
    <x v="0"/>
    <s v="C011"/>
    <x v="73"/>
    <s v="P048"/>
    <s v="Desk Lamp 48"/>
    <x v="1"/>
    <x v="2"/>
    <n v="12"/>
    <n v="199.98"/>
    <n v="1647.19"/>
    <n v="2399.7599999999998"/>
    <n v="752.56999999999971"/>
    <x v="1"/>
  </r>
  <r>
    <x v="35"/>
    <x v="0"/>
    <s v="C043"/>
    <x v="104"/>
    <s v="P047"/>
    <s v="Pen Set 47"/>
    <x v="1"/>
    <x v="2"/>
    <n v="2"/>
    <n v="187.76"/>
    <n v="246.69"/>
    <n v="375.52"/>
    <n v="128.82999999999998"/>
    <x v="0"/>
  </r>
  <r>
    <x v="118"/>
    <x v="0"/>
    <s v="C097"/>
    <x v="105"/>
    <s v="P024"/>
    <s v="USB Drive 24"/>
    <x v="1"/>
    <x v="3"/>
    <n v="15"/>
    <n v="150.97999999999999"/>
    <n v="1297.3"/>
    <n v="2264.6999999999998"/>
    <n v="967.39999999999986"/>
    <x v="1"/>
  </r>
  <r>
    <x v="119"/>
    <x v="0"/>
    <s v="C038"/>
    <x v="106"/>
    <s v="P048"/>
    <s v="Desk Lamp 48"/>
    <x v="1"/>
    <x v="2"/>
    <n v="12"/>
    <n v="384.68"/>
    <n v="2669.8"/>
    <n v="4616.16"/>
    <n v="1946.3599999999997"/>
    <x v="2"/>
  </r>
  <r>
    <x v="120"/>
    <x v="0"/>
    <s v="C021"/>
    <x v="107"/>
    <s v="P032"/>
    <s v="USB Drive 32"/>
    <x v="1"/>
    <x v="2"/>
    <n v="1"/>
    <n v="199.87"/>
    <n v="142.29"/>
    <n v="199.87"/>
    <n v="57.580000000000013"/>
    <x v="0"/>
  </r>
  <r>
    <x v="121"/>
    <x v="0"/>
    <s v="C048"/>
    <x v="42"/>
    <s v="P043"/>
    <s v="USB Drive 43"/>
    <x v="1"/>
    <x v="3"/>
    <n v="4"/>
    <n v="499.07"/>
    <n v="1506.94"/>
    <n v="1996.28"/>
    <n v="489.33999999999992"/>
    <x v="1"/>
  </r>
  <r>
    <x v="122"/>
    <x v="0"/>
    <s v="C067"/>
    <x v="108"/>
    <s v="P010"/>
    <s v="Notebook 10"/>
    <x v="1"/>
    <x v="0"/>
    <n v="17"/>
    <n v="201.68"/>
    <n v="2471.94"/>
    <n v="3428.56"/>
    <n v="956.61999999999989"/>
    <x v="2"/>
  </r>
  <r>
    <x v="123"/>
    <x v="0"/>
    <s v="C055"/>
    <x v="109"/>
    <s v="P043"/>
    <s v="USB Drive 43"/>
    <x v="1"/>
    <x v="1"/>
    <n v="10"/>
    <n v="448.58"/>
    <n v="3340.35"/>
    <n v="4485.8"/>
    <n v="1145.4500000000003"/>
    <x v="2"/>
  </r>
  <r>
    <x v="124"/>
    <x v="0"/>
    <s v="C046"/>
    <x v="110"/>
    <s v="P028"/>
    <s v="Notebook 28"/>
    <x v="1"/>
    <x v="3"/>
    <n v="2"/>
    <n v="81.92"/>
    <n v="97.14"/>
    <n v="163.84"/>
    <n v="66.7"/>
    <x v="0"/>
  </r>
  <r>
    <x v="125"/>
    <x v="0"/>
    <s v="C049"/>
    <x v="111"/>
    <s v="P028"/>
    <s v="Notebook 28"/>
    <x v="1"/>
    <x v="2"/>
    <n v="15"/>
    <n v="62.8"/>
    <n v="587.92999999999995"/>
    <n v="942"/>
    <n v="354.07000000000005"/>
    <x v="0"/>
  </r>
  <r>
    <x v="61"/>
    <x v="0"/>
    <s v="C015"/>
    <x v="112"/>
    <s v="P047"/>
    <s v="Pen Set 47"/>
    <x v="1"/>
    <x v="0"/>
    <n v="3"/>
    <n v="184.97"/>
    <n v="444.06"/>
    <n v="554.91"/>
    <n v="110.84999999999997"/>
    <x v="0"/>
  </r>
  <r>
    <x v="126"/>
    <x v="0"/>
    <s v="C099"/>
    <x v="113"/>
    <s v="P047"/>
    <s v="Pen Set 47"/>
    <x v="1"/>
    <x v="1"/>
    <n v="5"/>
    <n v="376.81"/>
    <n v="1289.8900000000001"/>
    <n v="1884.05"/>
    <n v="594.15999999999985"/>
    <x v="1"/>
  </r>
  <r>
    <x v="127"/>
    <x v="0"/>
    <s v="C022"/>
    <x v="75"/>
    <s v="P048"/>
    <s v="Desk Lamp 48"/>
    <x v="1"/>
    <x v="0"/>
    <n v="3"/>
    <n v="459.32"/>
    <n v="931.25"/>
    <n v="1377.96"/>
    <n v="446.71000000000004"/>
    <x v="0"/>
  </r>
  <r>
    <x v="33"/>
    <x v="0"/>
    <s v="C048"/>
    <x v="114"/>
    <s v="P028"/>
    <s v="Notebook 28"/>
    <x v="1"/>
    <x v="3"/>
    <n v="1"/>
    <n v="261.58999999999997"/>
    <n v="163.04"/>
    <n v="261.58999999999997"/>
    <n v="98.549999999999983"/>
    <x v="0"/>
  </r>
  <r>
    <x v="114"/>
    <x v="0"/>
    <s v="C058"/>
    <x v="77"/>
    <s v="P043"/>
    <s v="USB Drive 43"/>
    <x v="1"/>
    <x v="3"/>
    <n v="12"/>
    <n v="413.57"/>
    <n v="3054.8"/>
    <n v="4962.84"/>
    <n v="1908.04"/>
    <x v="2"/>
  </r>
  <r>
    <x v="128"/>
    <x v="0"/>
    <s v="C032"/>
    <x v="115"/>
    <s v="P041"/>
    <s v="Desk Lamp 41"/>
    <x v="1"/>
    <x v="0"/>
    <n v="3"/>
    <n v="257.87"/>
    <n v="473.79"/>
    <n v="773.61"/>
    <n v="299.82"/>
    <x v="0"/>
  </r>
  <r>
    <x v="49"/>
    <x v="0"/>
    <s v="C019"/>
    <x v="22"/>
    <s v="P047"/>
    <s v="Pen Set 47"/>
    <x v="1"/>
    <x v="3"/>
    <n v="7"/>
    <n v="334.45"/>
    <n v="1939.83"/>
    <n v="2341.15"/>
    <n v="401.32000000000016"/>
    <x v="1"/>
  </r>
  <r>
    <x v="87"/>
    <x v="0"/>
    <s v="C096"/>
    <x v="24"/>
    <s v="P033"/>
    <s v="Chair 33"/>
    <x v="1"/>
    <x v="3"/>
    <n v="6"/>
    <n v="171.38"/>
    <n v="639.76"/>
    <n v="1028.28"/>
    <n v="388.52"/>
    <x v="0"/>
  </r>
  <r>
    <x v="129"/>
    <x v="0"/>
    <s v="C039"/>
    <x v="68"/>
    <s v="P024"/>
    <s v="USB Drive 24"/>
    <x v="1"/>
    <x v="0"/>
    <n v="8"/>
    <n v="313.47000000000003"/>
    <n v="1494.66"/>
    <n v="2507.7600000000002"/>
    <n v="1013.1000000000001"/>
    <x v="1"/>
  </r>
  <r>
    <x v="130"/>
    <x v="0"/>
    <s v="C090"/>
    <x v="116"/>
    <s v="P021"/>
    <s v="Notebook 21"/>
    <x v="1"/>
    <x v="3"/>
    <n v="20"/>
    <n v="59.78"/>
    <n v="655.77"/>
    <n v="1195.5999999999999"/>
    <n v="539.82999999999993"/>
    <x v="0"/>
  </r>
  <r>
    <x v="131"/>
    <x v="0"/>
    <s v="C070"/>
    <x v="95"/>
    <s v="P041"/>
    <s v="Desk Lamp 41"/>
    <x v="1"/>
    <x v="0"/>
    <n v="15"/>
    <n v="30.32"/>
    <n v="336.55"/>
    <n v="454.8"/>
    <n v="118.25"/>
    <x v="0"/>
  </r>
  <r>
    <x v="132"/>
    <x v="0"/>
    <s v="C038"/>
    <x v="11"/>
    <s v="P015"/>
    <s v="Notebook 15"/>
    <x v="2"/>
    <x v="2"/>
    <n v="12"/>
    <n v="356.59"/>
    <n v="2680.36"/>
    <n v="4279.08"/>
    <n v="1598.7199999999998"/>
    <x v="2"/>
  </r>
  <r>
    <x v="101"/>
    <x v="0"/>
    <s v="C020"/>
    <x v="71"/>
    <s v="P015"/>
    <s v="Notebook 15"/>
    <x v="2"/>
    <x v="1"/>
    <n v="14"/>
    <n v="325.60000000000002"/>
    <n v="2851.81"/>
    <n v="4558.4000000000005"/>
    <n v="1706.5900000000006"/>
    <x v="2"/>
  </r>
  <r>
    <x v="133"/>
    <x v="0"/>
    <s v="C032"/>
    <x v="115"/>
    <s v="P025"/>
    <s v="Pen Set 25"/>
    <x v="2"/>
    <x v="2"/>
    <n v="6"/>
    <n v="429.23"/>
    <n v="1427.01"/>
    <n v="2575.38"/>
    <n v="1148.3700000000001"/>
    <x v="1"/>
  </r>
  <r>
    <x v="134"/>
    <x v="0"/>
    <s v="C084"/>
    <x v="117"/>
    <s v="P026"/>
    <s v="Charger 26"/>
    <x v="2"/>
    <x v="3"/>
    <n v="6"/>
    <n v="63.41"/>
    <n v="257.01"/>
    <n v="380.46"/>
    <n v="123.44999999999999"/>
    <x v="0"/>
  </r>
  <r>
    <x v="23"/>
    <x v="0"/>
    <s v="C019"/>
    <x v="23"/>
    <s v="P025"/>
    <s v="Pen Set 25"/>
    <x v="2"/>
    <x v="2"/>
    <n v="17"/>
    <n v="251.77"/>
    <n v="2312.52"/>
    <n v="4280.09"/>
    <n v="1967.5700000000002"/>
    <x v="2"/>
  </r>
  <r>
    <x v="135"/>
    <x v="0"/>
    <s v="C094"/>
    <x v="114"/>
    <s v="P026"/>
    <s v="Charger 26"/>
    <x v="2"/>
    <x v="3"/>
    <n v="6"/>
    <n v="440.76"/>
    <n v="1519.3"/>
    <n v="2644.56"/>
    <n v="1125.26"/>
    <x v="1"/>
  </r>
  <r>
    <x v="136"/>
    <x v="0"/>
    <s v="C092"/>
    <x v="118"/>
    <s v="P015"/>
    <s v="Notebook 15"/>
    <x v="2"/>
    <x v="1"/>
    <n v="11"/>
    <n v="355.29"/>
    <n v="2750.55"/>
    <n v="3908.19"/>
    <n v="1157.6399999999999"/>
    <x v="2"/>
  </r>
  <r>
    <x v="137"/>
    <x v="0"/>
    <s v="C095"/>
    <x v="104"/>
    <s v="P025"/>
    <s v="Pen Set 25"/>
    <x v="2"/>
    <x v="0"/>
    <n v="2"/>
    <n v="487.67"/>
    <n v="627.03"/>
    <n v="975.34"/>
    <n v="348.31000000000006"/>
    <x v="0"/>
  </r>
  <r>
    <x v="138"/>
    <x v="0"/>
    <s v="C076"/>
    <x v="110"/>
    <s v="P026"/>
    <s v="Charger 26"/>
    <x v="2"/>
    <x v="1"/>
    <n v="12"/>
    <n v="30.01"/>
    <n v="224.36"/>
    <n v="360.12"/>
    <n v="135.76"/>
    <x v="0"/>
  </r>
  <r>
    <x v="139"/>
    <x v="0"/>
    <s v="C013"/>
    <x v="104"/>
    <s v="P026"/>
    <s v="Charger 26"/>
    <x v="2"/>
    <x v="1"/>
    <n v="14"/>
    <n v="301.13"/>
    <n v="2469.3200000000002"/>
    <n v="4215.82"/>
    <n v="1746.4999999999995"/>
    <x v="2"/>
  </r>
  <r>
    <x v="5"/>
    <x v="0"/>
    <s v="C073"/>
    <x v="119"/>
    <s v="P025"/>
    <s v="Pen Set 25"/>
    <x v="2"/>
    <x v="2"/>
    <n v="16"/>
    <n v="117.48"/>
    <n v="1093.48"/>
    <n v="1879.68"/>
    <n v="786.2"/>
    <x v="1"/>
  </r>
  <r>
    <x v="88"/>
    <x v="0"/>
    <s v="C087"/>
    <x v="120"/>
    <s v="P026"/>
    <s v="Charger 26"/>
    <x v="2"/>
    <x v="0"/>
    <n v="19"/>
    <n v="86.37"/>
    <n v="1040.1099999999999"/>
    <n v="1641.0300000000002"/>
    <n v="600.9200000000003"/>
    <x v="1"/>
  </r>
  <r>
    <x v="56"/>
    <x v="0"/>
    <s v="C020"/>
    <x v="66"/>
    <s v="P015"/>
    <s v="Notebook 15"/>
    <x v="2"/>
    <x v="2"/>
    <n v="14"/>
    <n v="50.4"/>
    <n v="530.99"/>
    <n v="705.6"/>
    <n v="174.61"/>
    <x v="0"/>
  </r>
  <r>
    <x v="140"/>
    <x v="0"/>
    <s v="C095"/>
    <x v="36"/>
    <s v="P026"/>
    <s v="Charger 26"/>
    <x v="2"/>
    <x v="2"/>
    <n v="17"/>
    <n v="45.58"/>
    <n v="430.41"/>
    <n v="774.86"/>
    <n v="344.45"/>
    <x v="0"/>
  </r>
  <r>
    <x v="141"/>
    <x v="0"/>
    <s v="C050"/>
    <x v="92"/>
    <s v="P003"/>
    <s v="Pen Set 3"/>
    <x v="2"/>
    <x v="2"/>
    <n v="16"/>
    <n v="165.49"/>
    <n v="1652.02"/>
    <n v="2647.84"/>
    <n v="995.82000000000016"/>
    <x v="1"/>
  </r>
  <r>
    <x v="142"/>
    <x v="0"/>
    <s v="C035"/>
    <x v="98"/>
    <s v="P003"/>
    <s v="Pen Set 3"/>
    <x v="2"/>
    <x v="2"/>
    <n v="5"/>
    <n v="301.70999999999998"/>
    <n v="946.8"/>
    <n v="1508.55"/>
    <n v="561.75"/>
    <x v="1"/>
  </r>
  <r>
    <x v="143"/>
    <x v="0"/>
    <s v="C016"/>
    <x v="121"/>
    <s v="P003"/>
    <s v="Pen Set 3"/>
    <x v="2"/>
    <x v="0"/>
    <n v="12"/>
    <n v="383.57"/>
    <n v="2451.6"/>
    <n v="4602.84"/>
    <n v="2151.2400000000002"/>
    <x v="2"/>
  </r>
  <r>
    <x v="144"/>
    <x v="0"/>
    <s v="C052"/>
    <x v="122"/>
    <s v="P023"/>
    <s v="USB Drive 23"/>
    <x v="2"/>
    <x v="3"/>
    <n v="10"/>
    <n v="361.07"/>
    <n v="2280.79"/>
    <n v="3610.7"/>
    <n v="1329.9099999999999"/>
    <x v="2"/>
  </r>
  <r>
    <x v="145"/>
    <x v="0"/>
    <s v="C014"/>
    <x v="123"/>
    <s v="P023"/>
    <s v="USB Drive 23"/>
    <x v="2"/>
    <x v="2"/>
    <n v="9"/>
    <n v="396.31"/>
    <n v="2657.78"/>
    <n v="3566.79"/>
    <n v="909.00999999999976"/>
    <x v="2"/>
  </r>
  <r>
    <x v="146"/>
    <x v="0"/>
    <s v="C070"/>
    <x v="41"/>
    <s v="P023"/>
    <s v="USB Drive 23"/>
    <x v="2"/>
    <x v="2"/>
    <n v="2"/>
    <n v="403.73"/>
    <n v="671.14"/>
    <n v="807.46"/>
    <n v="136.32000000000005"/>
    <x v="0"/>
  </r>
  <r>
    <x v="147"/>
    <x v="0"/>
    <s v="C076"/>
    <x v="89"/>
    <s v="P026"/>
    <s v="Charger 26"/>
    <x v="2"/>
    <x v="0"/>
    <n v="15"/>
    <n v="230.1"/>
    <n v="2615.1"/>
    <n v="3451.5"/>
    <n v="836.40000000000009"/>
    <x v="2"/>
  </r>
  <r>
    <x v="148"/>
    <x v="0"/>
    <s v="C085"/>
    <x v="124"/>
    <s v="P015"/>
    <s v="Notebook 15"/>
    <x v="2"/>
    <x v="3"/>
    <n v="3"/>
    <n v="121.64"/>
    <n v="293.7"/>
    <n v="364.92"/>
    <n v="71.220000000000027"/>
    <x v="0"/>
  </r>
  <r>
    <x v="133"/>
    <x v="0"/>
    <s v="C073"/>
    <x v="53"/>
    <s v="P023"/>
    <s v="USB Drive 23"/>
    <x v="2"/>
    <x v="0"/>
    <n v="5"/>
    <n v="355.27"/>
    <n v="1123.1300000000001"/>
    <n v="1776.35"/>
    <n v="653.2199999999998"/>
    <x v="1"/>
  </r>
  <r>
    <x v="109"/>
    <x v="0"/>
    <s v="C087"/>
    <x v="33"/>
    <s v="P003"/>
    <s v="Pen Set 3"/>
    <x v="2"/>
    <x v="2"/>
    <n v="10"/>
    <n v="373.45"/>
    <n v="2191.7600000000002"/>
    <n v="3734.5"/>
    <n v="1542.7399999999998"/>
    <x v="2"/>
  </r>
  <r>
    <x v="149"/>
    <x v="0"/>
    <s v="C098"/>
    <x v="125"/>
    <s v="P003"/>
    <s v="Pen Set 3"/>
    <x v="2"/>
    <x v="0"/>
    <n v="9"/>
    <n v="85.13"/>
    <n v="528.9"/>
    <n v="766.17"/>
    <n v="237.26999999999998"/>
    <x v="0"/>
  </r>
  <r>
    <x v="150"/>
    <x v="0"/>
    <s v="C017"/>
    <x v="126"/>
    <s v="P025"/>
    <s v="Pen Set 25"/>
    <x v="2"/>
    <x v="3"/>
    <n v="9"/>
    <n v="417.78"/>
    <n v="2178.06"/>
    <n v="3760.0199999999995"/>
    <n v="1581.9599999999996"/>
    <x v="2"/>
  </r>
  <r>
    <x v="34"/>
    <x v="0"/>
    <s v="C061"/>
    <x v="71"/>
    <s v="P026"/>
    <s v="Charger 26"/>
    <x v="2"/>
    <x v="3"/>
    <n v="3"/>
    <n v="262.91000000000003"/>
    <n v="448.83"/>
    <n v="788.73"/>
    <n v="339.90000000000003"/>
    <x v="0"/>
  </r>
  <r>
    <x v="151"/>
    <x v="0"/>
    <s v="C007"/>
    <x v="28"/>
    <s v="P026"/>
    <s v="Charger 26"/>
    <x v="2"/>
    <x v="2"/>
    <n v="16"/>
    <n v="189.88"/>
    <n v="1938.21"/>
    <n v="3038.08"/>
    <n v="1099.8699999999999"/>
    <x v="2"/>
  </r>
  <r>
    <x v="87"/>
    <x v="0"/>
    <s v="C076"/>
    <x v="127"/>
    <s v="P015"/>
    <s v="Notebook 15"/>
    <x v="2"/>
    <x v="1"/>
    <n v="8"/>
    <n v="439.12"/>
    <n v="2010.79"/>
    <n v="3512.96"/>
    <n v="1502.17"/>
    <x v="2"/>
  </r>
  <r>
    <x v="152"/>
    <x v="0"/>
    <s v="C054"/>
    <x v="127"/>
    <s v="P003"/>
    <s v="Pen Set 3"/>
    <x v="2"/>
    <x v="3"/>
    <n v="5"/>
    <n v="156.69999999999999"/>
    <n v="578.53"/>
    <n v="783.5"/>
    <n v="204.97000000000003"/>
    <x v="0"/>
  </r>
  <r>
    <x v="153"/>
    <x v="0"/>
    <s v="C004"/>
    <x v="128"/>
    <s v="P023"/>
    <s v="USB Drive 23"/>
    <x v="2"/>
    <x v="1"/>
    <n v="10"/>
    <n v="184.53"/>
    <n v="1402.27"/>
    <n v="1845.3"/>
    <n v="443.03"/>
    <x v="1"/>
  </r>
  <r>
    <x v="154"/>
    <x v="0"/>
    <s v="C099"/>
    <x v="6"/>
    <s v="P003"/>
    <s v="Pen Set 3"/>
    <x v="2"/>
    <x v="2"/>
    <n v="11"/>
    <n v="35.880000000000003"/>
    <n v="275.92"/>
    <n v="394.68"/>
    <n v="118.75999999999999"/>
    <x v="0"/>
  </r>
  <r>
    <x v="70"/>
    <x v="0"/>
    <s v="C071"/>
    <x v="129"/>
    <s v="P003"/>
    <s v="Pen Set 3"/>
    <x v="2"/>
    <x v="1"/>
    <n v="3"/>
    <n v="44.22"/>
    <n v="96.68"/>
    <n v="132.66"/>
    <n v="35.97999999999999"/>
    <x v="0"/>
  </r>
  <r>
    <x v="68"/>
    <x v="0"/>
    <s v="C036"/>
    <x v="130"/>
    <s v="P023"/>
    <s v="USB Drive 23"/>
    <x v="2"/>
    <x v="1"/>
    <n v="3"/>
    <n v="311.81"/>
    <n v="515.79"/>
    <n v="935.43000000000006"/>
    <n v="419.6400000000001"/>
    <x v="0"/>
  </r>
  <r>
    <x v="99"/>
    <x v="0"/>
    <s v="C095"/>
    <x v="131"/>
    <s v="P003"/>
    <s v="Pen Set 3"/>
    <x v="2"/>
    <x v="0"/>
    <n v="2"/>
    <n v="140.81"/>
    <n v="237.34"/>
    <n v="281.62"/>
    <n v="44.28"/>
    <x v="0"/>
  </r>
  <r>
    <x v="13"/>
    <x v="0"/>
    <s v="C096"/>
    <x v="132"/>
    <s v="P015"/>
    <s v="Notebook 15"/>
    <x v="2"/>
    <x v="3"/>
    <n v="3"/>
    <n v="66.319999999999993"/>
    <n v="164.8"/>
    <n v="198.95999999999998"/>
    <n v="34.159999999999968"/>
    <x v="0"/>
  </r>
  <r>
    <x v="155"/>
    <x v="0"/>
    <s v="C038"/>
    <x v="133"/>
    <s v="P025"/>
    <s v="Pen Set 25"/>
    <x v="2"/>
    <x v="1"/>
    <n v="2"/>
    <n v="67.33"/>
    <n v="99.49"/>
    <n v="134.66"/>
    <n v="35.17"/>
    <x v="0"/>
  </r>
  <r>
    <x v="156"/>
    <x v="0"/>
    <s v="C043"/>
    <x v="5"/>
    <s v="P011"/>
    <s v="Desk Lamp 11"/>
    <x v="3"/>
    <x v="0"/>
    <n v="10"/>
    <n v="462.99"/>
    <n v="3011.06"/>
    <n v="4629.8999999999996"/>
    <n v="1618.8399999999997"/>
    <x v="2"/>
  </r>
  <r>
    <x v="157"/>
    <x v="0"/>
    <s v="C075"/>
    <x v="67"/>
    <s v="P011"/>
    <s v="Desk Lamp 11"/>
    <x v="3"/>
    <x v="1"/>
    <n v="16"/>
    <n v="186.91"/>
    <n v="2156.7199999999998"/>
    <n v="2990.56"/>
    <n v="833.84000000000015"/>
    <x v="1"/>
  </r>
  <r>
    <x v="158"/>
    <x v="0"/>
    <s v="C075"/>
    <x v="17"/>
    <s v="P031"/>
    <s v="Backpack 31"/>
    <x v="3"/>
    <x v="3"/>
    <n v="14"/>
    <n v="220.19"/>
    <n v="1946.38"/>
    <n v="3082.66"/>
    <n v="1136.2799999999997"/>
    <x v="2"/>
  </r>
  <r>
    <x v="100"/>
    <x v="0"/>
    <s v="C085"/>
    <x v="73"/>
    <s v="P016"/>
    <s v="Backpack 16"/>
    <x v="3"/>
    <x v="3"/>
    <n v="16"/>
    <n v="139.33000000000001"/>
    <n v="1500.36"/>
    <n v="2229.2800000000002"/>
    <n v="728.9200000000003"/>
    <x v="1"/>
  </r>
  <r>
    <x v="158"/>
    <x v="0"/>
    <s v="C056"/>
    <x v="134"/>
    <s v="P031"/>
    <s v="Backpack 31"/>
    <x v="3"/>
    <x v="0"/>
    <n v="3"/>
    <n v="402.81"/>
    <n v="792.95"/>
    <n v="1208.43"/>
    <n v="415.48"/>
    <x v="0"/>
  </r>
  <r>
    <x v="159"/>
    <x v="0"/>
    <s v="C005"/>
    <x v="76"/>
    <s v="P029"/>
    <s v="Notebook 29"/>
    <x v="3"/>
    <x v="2"/>
    <n v="4"/>
    <n v="143.11000000000001"/>
    <n v="465.64"/>
    <n v="572.44000000000005"/>
    <n v="106.80000000000007"/>
    <x v="0"/>
  </r>
  <r>
    <x v="160"/>
    <x v="0"/>
    <s v="C094"/>
    <x v="135"/>
    <s v="P031"/>
    <s v="Backpack 31"/>
    <x v="3"/>
    <x v="3"/>
    <n v="7"/>
    <n v="478.81"/>
    <n v="2028.75"/>
    <n v="3351.67"/>
    <n v="1322.92"/>
    <x v="2"/>
  </r>
  <r>
    <x v="155"/>
    <x v="0"/>
    <s v="C018"/>
    <x v="4"/>
    <s v="P029"/>
    <s v="Notebook 29"/>
    <x v="3"/>
    <x v="0"/>
    <n v="9"/>
    <n v="151.97"/>
    <n v="1133.57"/>
    <n v="1367.73"/>
    <n v="234.16000000000008"/>
    <x v="0"/>
  </r>
  <r>
    <x v="161"/>
    <x v="0"/>
    <s v="C069"/>
    <x v="106"/>
    <s v="P016"/>
    <s v="Backpack 16"/>
    <x v="3"/>
    <x v="0"/>
    <n v="3"/>
    <n v="165.35"/>
    <n v="308.73"/>
    <n v="496.04999999999995"/>
    <n v="187.31999999999994"/>
    <x v="0"/>
  </r>
  <r>
    <x v="78"/>
    <x v="0"/>
    <s v="C004"/>
    <x v="109"/>
    <s v="P016"/>
    <s v="Backpack 16"/>
    <x v="3"/>
    <x v="3"/>
    <n v="15"/>
    <n v="142.41999999999999"/>
    <n v="1405.72"/>
    <n v="2136.2999999999997"/>
    <n v="730.5799999999997"/>
    <x v="1"/>
  </r>
  <r>
    <x v="162"/>
    <x v="0"/>
    <s v="C094"/>
    <x v="28"/>
    <s v="P016"/>
    <s v="Backpack 16"/>
    <x v="3"/>
    <x v="2"/>
    <n v="20"/>
    <n v="47.95"/>
    <n v="653.89"/>
    <n v="959"/>
    <n v="305.11"/>
    <x v="0"/>
  </r>
  <r>
    <x v="71"/>
    <x v="0"/>
    <s v="C021"/>
    <x v="136"/>
    <s v="P011"/>
    <s v="Desk Lamp 11"/>
    <x v="3"/>
    <x v="0"/>
    <n v="12"/>
    <n v="220.09"/>
    <n v="2096.9499999999998"/>
    <n v="2641.08"/>
    <n v="544.13000000000011"/>
    <x v="1"/>
  </r>
  <r>
    <x v="101"/>
    <x v="0"/>
    <s v="C026"/>
    <x v="137"/>
    <s v="P031"/>
    <s v="Backpack 31"/>
    <x v="3"/>
    <x v="3"/>
    <n v="7"/>
    <n v="71.67"/>
    <n v="406.51"/>
    <n v="501.69"/>
    <n v="95.18"/>
    <x v="0"/>
  </r>
  <r>
    <x v="100"/>
    <x v="0"/>
    <s v="C085"/>
    <x v="138"/>
    <s v="P016"/>
    <s v="Backpack 16"/>
    <x v="3"/>
    <x v="1"/>
    <n v="15"/>
    <n v="130.05000000000001"/>
    <n v="1188.31"/>
    <n v="1950.7500000000002"/>
    <n v="762.44000000000028"/>
    <x v="1"/>
  </r>
  <r>
    <x v="114"/>
    <x v="0"/>
    <s v="C017"/>
    <x v="88"/>
    <s v="P029"/>
    <s v="Notebook 29"/>
    <x v="3"/>
    <x v="3"/>
    <n v="3"/>
    <n v="457.27"/>
    <n v="894.8"/>
    <n v="1371.81"/>
    <n v="477.01"/>
    <x v="0"/>
  </r>
  <r>
    <x v="163"/>
    <x v="0"/>
    <s v="C060"/>
    <x v="139"/>
    <s v="P029"/>
    <s v="Notebook 29"/>
    <x v="3"/>
    <x v="3"/>
    <n v="14"/>
    <n v="121.21"/>
    <n v="1211.8499999999999"/>
    <n v="1696.9399999999998"/>
    <n v="485.08999999999992"/>
    <x v="1"/>
  </r>
  <r>
    <x v="16"/>
    <x v="0"/>
    <s v="C089"/>
    <x v="140"/>
    <s v="P011"/>
    <s v="Desk Lamp 11"/>
    <x v="3"/>
    <x v="2"/>
    <n v="15"/>
    <n v="75.790000000000006"/>
    <n v="842.76"/>
    <n v="1136.8500000000001"/>
    <n v="294.09000000000015"/>
    <x v="0"/>
  </r>
  <r>
    <x v="84"/>
    <x v="0"/>
    <s v="C082"/>
    <x v="43"/>
    <s v="P031"/>
    <s v="Backpack 31"/>
    <x v="3"/>
    <x v="3"/>
    <n v="12"/>
    <n v="269.75"/>
    <n v="1852.24"/>
    <n v="3237"/>
    <n v="1384.76"/>
    <x v="2"/>
  </r>
  <r>
    <x v="121"/>
    <x v="0"/>
    <s v="C010"/>
    <x v="141"/>
    <s v="P031"/>
    <s v="Backpack 31"/>
    <x v="3"/>
    <x v="2"/>
    <n v="14"/>
    <n v="121.62"/>
    <n v="1102.17"/>
    <n v="1702.68"/>
    <n v="600.51"/>
    <x v="1"/>
  </r>
  <r>
    <x v="164"/>
    <x v="0"/>
    <s v="C018"/>
    <x v="142"/>
    <s v="P011"/>
    <s v="Desk Lamp 11"/>
    <x v="3"/>
    <x v="1"/>
    <n v="11"/>
    <n v="35.28"/>
    <n v="215.32"/>
    <n v="388.08000000000004"/>
    <n v="172.76000000000005"/>
    <x v="0"/>
  </r>
  <r>
    <x v="165"/>
    <x v="0"/>
    <s v="C051"/>
    <x v="143"/>
    <s v="P045"/>
    <s v="Chair 45"/>
    <x v="4"/>
    <x v="2"/>
    <n v="11"/>
    <n v="267.58"/>
    <n v="1629.15"/>
    <n v="2943.3799999999997"/>
    <n v="1314.2299999999996"/>
    <x v="1"/>
  </r>
  <r>
    <x v="166"/>
    <x v="0"/>
    <s v="C078"/>
    <x v="144"/>
    <s v="P013"/>
    <s v="USB Drive 13"/>
    <x v="4"/>
    <x v="1"/>
    <n v="8"/>
    <n v="474.76"/>
    <n v="2502.94"/>
    <n v="3798.08"/>
    <n v="1295.1399999999999"/>
    <x v="2"/>
  </r>
  <r>
    <x v="167"/>
    <x v="0"/>
    <s v="C004"/>
    <x v="145"/>
    <s v="P013"/>
    <s v="USB Drive 13"/>
    <x v="4"/>
    <x v="3"/>
    <n v="11"/>
    <n v="306.95"/>
    <n v="2861.4"/>
    <n v="3376.45"/>
    <n v="515.04999999999973"/>
    <x v="2"/>
  </r>
  <r>
    <x v="168"/>
    <x v="0"/>
    <s v="C021"/>
    <x v="137"/>
    <s v="P027"/>
    <s v="Charger 27"/>
    <x v="4"/>
    <x v="0"/>
    <n v="10"/>
    <n v="428.74"/>
    <n v="3643.64"/>
    <n v="4287.3999999999996"/>
    <n v="643.75999999999976"/>
    <x v="2"/>
  </r>
  <r>
    <x v="169"/>
    <x v="0"/>
    <s v="C074"/>
    <x v="146"/>
    <s v="P044"/>
    <s v="Desk Lamp 44"/>
    <x v="4"/>
    <x v="3"/>
    <n v="9"/>
    <n v="299.01"/>
    <n v="1921.6"/>
    <n v="2691.09"/>
    <n v="769.49000000000024"/>
    <x v="1"/>
  </r>
  <r>
    <x v="170"/>
    <x v="0"/>
    <s v="C022"/>
    <x v="63"/>
    <s v="P034"/>
    <s v="USB Drive 34"/>
    <x v="4"/>
    <x v="1"/>
    <n v="5"/>
    <n v="313.41000000000003"/>
    <n v="956.31"/>
    <n v="1567.0500000000002"/>
    <n v="610.74000000000024"/>
    <x v="1"/>
  </r>
  <r>
    <x v="30"/>
    <x v="0"/>
    <s v="C046"/>
    <x v="23"/>
    <s v="P039"/>
    <s v="Notebook 39"/>
    <x v="4"/>
    <x v="1"/>
    <n v="5"/>
    <n v="267.2"/>
    <n v="807.44"/>
    <n v="1336"/>
    <n v="528.55999999999995"/>
    <x v="0"/>
  </r>
  <r>
    <x v="171"/>
    <x v="0"/>
    <s v="C026"/>
    <x v="88"/>
    <s v="P027"/>
    <s v="Charger 27"/>
    <x v="4"/>
    <x v="3"/>
    <n v="11"/>
    <n v="258.91000000000003"/>
    <n v="1655.69"/>
    <n v="2848.01"/>
    <n v="1192.3200000000002"/>
    <x v="1"/>
  </r>
  <r>
    <x v="85"/>
    <x v="0"/>
    <s v="C037"/>
    <x v="9"/>
    <s v="P034"/>
    <s v="USB Drive 34"/>
    <x v="4"/>
    <x v="3"/>
    <n v="14"/>
    <n v="333.08"/>
    <n v="3518.84"/>
    <n v="4663.12"/>
    <n v="1144.2799999999997"/>
    <x v="2"/>
  </r>
  <r>
    <x v="172"/>
    <x v="0"/>
    <s v="C010"/>
    <x v="147"/>
    <s v="P027"/>
    <s v="Charger 27"/>
    <x v="4"/>
    <x v="0"/>
    <n v="1"/>
    <n v="128.09"/>
    <n v="79.77"/>
    <n v="128.09"/>
    <n v="48.320000000000007"/>
    <x v="0"/>
  </r>
  <r>
    <x v="50"/>
    <x v="0"/>
    <s v="C097"/>
    <x v="58"/>
    <s v="P044"/>
    <s v="Desk Lamp 44"/>
    <x v="4"/>
    <x v="2"/>
    <n v="20"/>
    <n v="69.680000000000007"/>
    <n v="769.57"/>
    <n v="1393.6000000000001"/>
    <n v="624.03000000000009"/>
    <x v="0"/>
  </r>
  <r>
    <x v="157"/>
    <x v="0"/>
    <s v="C073"/>
    <x v="41"/>
    <s v="P019"/>
    <s v="Backpack 19"/>
    <x v="4"/>
    <x v="1"/>
    <n v="1"/>
    <n v="72.3"/>
    <n v="51.57"/>
    <n v="72.3"/>
    <n v="20.729999999999997"/>
    <x v="0"/>
  </r>
  <r>
    <x v="65"/>
    <x v="0"/>
    <s v="C064"/>
    <x v="137"/>
    <s v="P019"/>
    <s v="Backpack 19"/>
    <x v="4"/>
    <x v="2"/>
    <n v="20"/>
    <n v="206.76"/>
    <n v="2942.81"/>
    <n v="4135.2"/>
    <n v="1192.3899999999999"/>
    <x v="2"/>
  </r>
  <r>
    <x v="15"/>
    <x v="0"/>
    <s v="C021"/>
    <x v="105"/>
    <s v="P044"/>
    <s v="Desk Lamp 44"/>
    <x v="4"/>
    <x v="1"/>
    <n v="3"/>
    <n v="453.53"/>
    <n v="1103.23"/>
    <n v="1360.59"/>
    <n v="257.3599999999999"/>
    <x v="0"/>
  </r>
  <r>
    <x v="173"/>
    <x v="0"/>
    <s v="C063"/>
    <x v="2"/>
    <s v="P027"/>
    <s v="Charger 27"/>
    <x v="4"/>
    <x v="0"/>
    <n v="14"/>
    <n v="68.94"/>
    <n v="513.74"/>
    <n v="965.16"/>
    <n v="451.41999999999996"/>
    <x v="0"/>
  </r>
  <r>
    <x v="12"/>
    <x v="0"/>
    <s v="C073"/>
    <x v="68"/>
    <s v="P039"/>
    <s v="Notebook 39"/>
    <x v="4"/>
    <x v="0"/>
    <n v="12"/>
    <n v="131.26"/>
    <n v="1100.57"/>
    <n v="1575.12"/>
    <n v="474.54999999999995"/>
    <x v="1"/>
  </r>
  <r>
    <x v="120"/>
    <x v="0"/>
    <s v="C043"/>
    <x v="148"/>
    <s v="P027"/>
    <s v="Charger 27"/>
    <x v="4"/>
    <x v="2"/>
    <n v="1"/>
    <n v="212.91"/>
    <n v="158.49"/>
    <n v="212.91"/>
    <n v="54.419999999999987"/>
    <x v="0"/>
  </r>
  <r>
    <x v="174"/>
    <x v="0"/>
    <s v="C079"/>
    <x v="72"/>
    <s v="P019"/>
    <s v="Backpack 19"/>
    <x v="4"/>
    <x v="3"/>
    <n v="20"/>
    <n v="224.62"/>
    <n v="3527.09"/>
    <n v="4492.3999999999996"/>
    <n v="965.30999999999949"/>
    <x v="2"/>
  </r>
  <r>
    <x v="96"/>
    <x v="0"/>
    <s v="C036"/>
    <x v="149"/>
    <s v="P013"/>
    <s v="USB Drive 13"/>
    <x v="4"/>
    <x v="0"/>
    <n v="4"/>
    <n v="77.87"/>
    <n v="259.26"/>
    <n v="311.48"/>
    <n v="52.220000000000027"/>
    <x v="0"/>
  </r>
  <r>
    <x v="108"/>
    <x v="0"/>
    <s v="C041"/>
    <x v="72"/>
    <s v="P034"/>
    <s v="USB Drive 34"/>
    <x v="4"/>
    <x v="3"/>
    <n v="6"/>
    <n v="192.45"/>
    <n v="888.68"/>
    <n v="1154.6999999999998"/>
    <n v="266.01999999999987"/>
    <x v="0"/>
  </r>
  <r>
    <x v="102"/>
    <x v="0"/>
    <s v="C051"/>
    <x v="150"/>
    <s v="P039"/>
    <s v="Notebook 39"/>
    <x v="4"/>
    <x v="2"/>
    <n v="10"/>
    <n v="258.76"/>
    <n v="2005"/>
    <n v="2587.6"/>
    <n v="582.59999999999991"/>
    <x v="1"/>
  </r>
  <r>
    <x v="175"/>
    <x v="0"/>
    <s v="C082"/>
    <x v="54"/>
    <s v="P039"/>
    <s v="Notebook 39"/>
    <x v="4"/>
    <x v="3"/>
    <n v="8"/>
    <n v="282.26"/>
    <n v="1532.64"/>
    <n v="2258.08"/>
    <n v="725.43999999999983"/>
    <x v="1"/>
  </r>
  <r>
    <x v="176"/>
    <x v="0"/>
    <s v="C007"/>
    <x v="151"/>
    <s v="P044"/>
    <s v="Desk Lamp 44"/>
    <x v="4"/>
    <x v="0"/>
    <n v="2"/>
    <n v="235.7"/>
    <n v="266.69"/>
    <n v="471.4"/>
    <n v="204.70999999999998"/>
    <x v="0"/>
  </r>
  <r>
    <x v="177"/>
    <x v="0"/>
    <s v="C008"/>
    <x v="20"/>
    <s v="P034"/>
    <s v="USB Drive 34"/>
    <x v="4"/>
    <x v="0"/>
    <n v="13"/>
    <n v="312.35000000000002"/>
    <n v="2970.31"/>
    <n v="4060.55"/>
    <n v="1090.2400000000002"/>
    <x v="2"/>
  </r>
  <r>
    <x v="40"/>
    <x v="0"/>
    <s v="C056"/>
    <x v="69"/>
    <s v="P013"/>
    <s v="USB Drive 13"/>
    <x v="4"/>
    <x v="2"/>
    <n v="9"/>
    <n v="323.55"/>
    <n v="2308.98"/>
    <n v="2911.9500000000003"/>
    <n v="602.97000000000025"/>
    <x v="1"/>
  </r>
  <r>
    <x v="173"/>
    <x v="0"/>
    <s v="C033"/>
    <x v="81"/>
    <s v="P045"/>
    <s v="Chair 45"/>
    <x v="4"/>
    <x v="2"/>
    <n v="18"/>
    <n v="59.18"/>
    <n v="593.72"/>
    <n v="1065.24"/>
    <n v="471.52"/>
    <x v="0"/>
  </r>
  <r>
    <x v="116"/>
    <x v="0"/>
    <s v="C068"/>
    <x v="25"/>
    <s v="P027"/>
    <s v="Charger 27"/>
    <x v="4"/>
    <x v="1"/>
    <n v="15"/>
    <n v="67.77"/>
    <n v="594.92999999999995"/>
    <n v="1016.55"/>
    <n v="421.62"/>
    <x v="0"/>
  </r>
  <r>
    <x v="171"/>
    <x v="0"/>
    <s v="C051"/>
    <x v="152"/>
    <s v="P013"/>
    <s v="USB Drive 13"/>
    <x v="4"/>
    <x v="0"/>
    <n v="10"/>
    <n v="378.36"/>
    <n v="2381.84"/>
    <n v="3783.6000000000004"/>
    <n v="1401.7600000000002"/>
    <x v="2"/>
  </r>
  <r>
    <x v="178"/>
    <x v="0"/>
    <s v="C076"/>
    <x v="37"/>
    <s v="P027"/>
    <s v="Charger 27"/>
    <x v="4"/>
    <x v="1"/>
    <n v="9"/>
    <n v="366.05"/>
    <n v="2168.4"/>
    <n v="3294.4500000000003"/>
    <n v="1126.0500000000002"/>
    <x v="2"/>
  </r>
  <r>
    <x v="0"/>
    <x v="0"/>
    <s v="C018"/>
    <x v="153"/>
    <s v="P008"/>
    <s v="Backpack 8"/>
    <x v="4"/>
    <x v="2"/>
    <n v="13"/>
    <n v="241.26"/>
    <n v="2450.42"/>
    <n v="3136.38"/>
    <n v="685.96"/>
    <x v="2"/>
  </r>
  <r>
    <x v="179"/>
    <x v="0"/>
    <s v="C002"/>
    <x v="98"/>
    <s v="P013"/>
    <s v="USB Drive 13"/>
    <x v="4"/>
    <x v="2"/>
    <n v="4"/>
    <n v="289.60000000000002"/>
    <n v="694.47"/>
    <n v="1158.4000000000001"/>
    <n v="463.93000000000006"/>
    <x v="0"/>
  </r>
  <r>
    <x v="180"/>
    <x v="0"/>
    <s v="C083"/>
    <x v="154"/>
    <s v="P019"/>
    <s v="Backpack 19"/>
    <x v="4"/>
    <x v="0"/>
    <n v="12"/>
    <n v="249.41"/>
    <n v="1882.08"/>
    <n v="2992.92"/>
    <n v="1110.8400000000001"/>
    <x v="1"/>
  </r>
  <r>
    <x v="128"/>
    <x v="0"/>
    <s v="C098"/>
    <x v="32"/>
    <s v="P008"/>
    <s v="Backpack 8"/>
    <x v="4"/>
    <x v="1"/>
    <n v="7"/>
    <n v="122.15"/>
    <n v="589.66999999999996"/>
    <n v="855.05000000000007"/>
    <n v="265.38000000000011"/>
    <x v="0"/>
  </r>
  <r>
    <x v="16"/>
    <x v="0"/>
    <s v="C096"/>
    <x v="28"/>
    <s v="P039"/>
    <s v="Notebook 39"/>
    <x v="4"/>
    <x v="0"/>
    <n v="19"/>
    <n v="205.8"/>
    <n v="2989.97"/>
    <n v="3910.2000000000003"/>
    <n v="920.23000000000047"/>
    <x v="2"/>
  </r>
  <r>
    <x v="112"/>
    <x v="0"/>
    <s v="C034"/>
    <x v="63"/>
    <s v="P008"/>
    <s v="Backpack 8"/>
    <x v="4"/>
    <x v="0"/>
    <n v="10"/>
    <n v="369.11"/>
    <n v="2725.92"/>
    <n v="3691.1000000000004"/>
    <n v="965.18000000000029"/>
    <x v="2"/>
  </r>
  <r>
    <x v="160"/>
    <x v="0"/>
    <s v="C095"/>
    <x v="49"/>
    <s v="P034"/>
    <s v="USB Drive 34"/>
    <x v="4"/>
    <x v="1"/>
    <n v="5"/>
    <n v="456.79"/>
    <n v="1831.54"/>
    <n v="2283.9500000000003"/>
    <n v="452.41000000000031"/>
    <x v="1"/>
  </r>
  <r>
    <x v="63"/>
    <x v="0"/>
    <s v="C057"/>
    <x v="155"/>
    <s v="P008"/>
    <s v="Backpack 8"/>
    <x v="4"/>
    <x v="0"/>
    <n v="6"/>
    <n v="258.42"/>
    <n v="854.97"/>
    <n v="1550.52"/>
    <n v="695.55"/>
    <x v="1"/>
  </r>
  <r>
    <x v="181"/>
    <x v="0"/>
    <s v="C023"/>
    <x v="156"/>
    <s v="P027"/>
    <s v="Charger 27"/>
    <x v="4"/>
    <x v="1"/>
    <n v="4"/>
    <n v="395.98"/>
    <n v="1183.24"/>
    <n v="1583.92"/>
    <n v="400.68000000000006"/>
    <x v="1"/>
  </r>
  <r>
    <x v="144"/>
    <x v="0"/>
    <s v="C039"/>
    <x v="18"/>
    <s v="P045"/>
    <s v="Chair 45"/>
    <x v="4"/>
    <x v="2"/>
    <n v="3"/>
    <n v="58.51"/>
    <n v="126.1"/>
    <n v="175.53"/>
    <n v="49.430000000000007"/>
    <x v="0"/>
  </r>
  <r>
    <x v="182"/>
    <x v="0"/>
    <s v="C042"/>
    <x v="36"/>
    <s v="P045"/>
    <s v="Chair 45"/>
    <x v="4"/>
    <x v="3"/>
    <n v="9"/>
    <n v="209.61"/>
    <n v="1224.8599999999999"/>
    <n v="1886.4900000000002"/>
    <n v="661.63000000000034"/>
    <x v="1"/>
  </r>
  <r>
    <x v="26"/>
    <x v="0"/>
    <s v="C076"/>
    <x v="157"/>
    <s v="P013"/>
    <s v="USB Drive 13"/>
    <x v="4"/>
    <x v="3"/>
    <n v="1"/>
    <n v="437.87"/>
    <n v="279.17"/>
    <n v="437.87"/>
    <n v="158.69999999999999"/>
    <x v="0"/>
  </r>
  <r>
    <x v="183"/>
    <x v="0"/>
    <s v="C079"/>
    <x v="148"/>
    <s v="P008"/>
    <s v="Backpack 8"/>
    <x v="4"/>
    <x v="0"/>
    <n v="6"/>
    <n v="349.4"/>
    <n v="1226.68"/>
    <n v="2096.3999999999996"/>
    <n v="869.71999999999957"/>
    <x v="1"/>
  </r>
  <r>
    <x v="184"/>
    <x v="0"/>
    <s v="C081"/>
    <x v="42"/>
    <s v="P045"/>
    <s v="Chair 45"/>
    <x v="4"/>
    <x v="0"/>
    <n v="17"/>
    <n v="75.47"/>
    <n v="841.3"/>
    <n v="1282.99"/>
    <n v="441.69000000000005"/>
    <x v="0"/>
  </r>
  <r>
    <x v="185"/>
    <x v="0"/>
    <s v="C008"/>
    <x v="158"/>
    <s v="P008"/>
    <s v="Backpack 8"/>
    <x v="4"/>
    <x v="0"/>
    <n v="9"/>
    <n v="275.76"/>
    <n v="1425.27"/>
    <n v="2481.84"/>
    <n v="1056.5700000000002"/>
    <x v="1"/>
  </r>
  <r>
    <x v="27"/>
    <x v="0"/>
    <s v="C006"/>
    <x v="56"/>
    <s v="P008"/>
    <s v="Backpack 8"/>
    <x v="4"/>
    <x v="3"/>
    <n v="7"/>
    <n v="250.67"/>
    <n v="1022.28"/>
    <n v="1754.6899999999998"/>
    <n v="732.40999999999985"/>
    <x v="1"/>
  </r>
  <r>
    <x v="186"/>
    <x v="0"/>
    <s v="C063"/>
    <x v="154"/>
    <s v="P019"/>
    <s v="Backpack 19"/>
    <x v="4"/>
    <x v="1"/>
    <n v="19"/>
    <n v="239.14"/>
    <n v="3257.32"/>
    <n v="4543.66"/>
    <n v="1286.3399999999997"/>
    <x v="2"/>
  </r>
  <r>
    <x v="187"/>
    <x v="0"/>
    <s v="C064"/>
    <x v="159"/>
    <s v="P013"/>
    <s v="USB Drive 13"/>
    <x v="4"/>
    <x v="3"/>
    <n v="9"/>
    <n v="444.4"/>
    <n v="2827.71"/>
    <n v="3999.6"/>
    <n v="1171.8899999999999"/>
    <x v="2"/>
  </r>
  <r>
    <x v="188"/>
    <x v="0"/>
    <s v="C077"/>
    <x v="122"/>
    <s v="P039"/>
    <s v="Notebook 39"/>
    <x v="4"/>
    <x v="3"/>
    <n v="1"/>
    <n v="252.71"/>
    <n v="145.18"/>
    <n v="252.71"/>
    <n v="107.53"/>
    <x v="0"/>
  </r>
  <r>
    <x v="142"/>
    <x v="0"/>
    <s v="C060"/>
    <x v="17"/>
    <s v="P034"/>
    <s v="USB Drive 34"/>
    <x v="4"/>
    <x v="0"/>
    <n v="1"/>
    <n v="283.81"/>
    <n v="160.80000000000001"/>
    <n v="283.81"/>
    <n v="123.00999999999999"/>
    <x v="0"/>
  </r>
  <r>
    <x v="189"/>
    <x v="0"/>
    <s v="C085"/>
    <x v="160"/>
    <s v="P019"/>
    <s v="Backpack 19"/>
    <x v="4"/>
    <x v="2"/>
    <n v="13"/>
    <n v="213.24"/>
    <n v="1734.92"/>
    <n v="2772.12"/>
    <n v="1037.1999999999998"/>
    <x v="1"/>
  </r>
  <r>
    <x v="190"/>
    <x v="0"/>
    <s v="C008"/>
    <x v="58"/>
    <s v="P044"/>
    <s v="Desk Lamp 44"/>
    <x v="4"/>
    <x v="0"/>
    <n v="8"/>
    <n v="90.05"/>
    <n v="411.07"/>
    <n v="720.4"/>
    <n v="309.33"/>
    <x v="0"/>
  </r>
  <r>
    <x v="191"/>
    <x v="0"/>
    <s v="C036"/>
    <x v="161"/>
    <s v="P027"/>
    <s v="Charger 27"/>
    <x v="4"/>
    <x v="0"/>
    <n v="6"/>
    <n v="486.94"/>
    <n v="2221.14"/>
    <n v="2921.64"/>
    <n v="700.5"/>
    <x v="1"/>
  </r>
  <r>
    <x v="46"/>
    <x v="0"/>
    <s v="C086"/>
    <x v="92"/>
    <s v="P044"/>
    <s v="Desk Lamp 44"/>
    <x v="4"/>
    <x v="2"/>
    <n v="17"/>
    <n v="40.25"/>
    <n v="563.83000000000004"/>
    <n v="684.25"/>
    <n v="120.41999999999996"/>
    <x v="0"/>
  </r>
  <r>
    <x v="192"/>
    <x v="0"/>
    <s v="C092"/>
    <x v="161"/>
    <s v="P008"/>
    <s v="Backpack 8"/>
    <x v="4"/>
    <x v="0"/>
    <n v="8"/>
    <n v="344.5"/>
    <n v="1598.47"/>
    <n v="2756"/>
    <n v="1157.53"/>
    <x v="1"/>
  </r>
  <r>
    <x v="183"/>
    <x v="0"/>
    <s v="C048"/>
    <x v="162"/>
    <s v="P027"/>
    <s v="Charger 27"/>
    <x v="4"/>
    <x v="2"/>
    <n v="6"/>
    <n v="277"/>
    <n v="1179.8800000000001"/>
    <n v="1662"/>
    <n v="482.11999999999989"/>
    <x v="1"/>
  </r>
  <r>
    <x v="193"/>
    <x v="0"/>
    <s v="C022"/>
    <x v="163"/>
    <s v="P045"/>
    <s v="Chair 45"/>
    <x v="4"/>
    <x v="3"/>
    <n v="5"/>
    <n v="81.93"/>
    <n v="315.45999999999998"/>
    <n v="409.65000000000003"/>
    <n v="94.190000000000055"/>
    <x v="0"/>
  </r>
  <r>
    <x v="64"/>
    <x v="0"/>
    <s v="C070"/>
    <x v="164"/>
    <s v="P008"/>
    <s v="Backpack 8"/>
    <x v="4"/>
    <x v="1"/>
    <n v="4"/>
    <n v="182.05"/>
    <n v="481.49"/>
    <n v="728.2"/>
    <n v="246.71000000000004"/>
    <x v="0"/>
  </r>
  <r>
    <x v="194"/>
    <x v="0"/>
    <s v="C048"/>
    <x v="29"/>
    <s v="P027"/>
    <s v="Charger 27"/>
    <x v="4"/>
    <x v="3"/>
    <n v="18"/>
    <n v="179.1"/>
    <n v="2122.4"/>
    <n v="3223.7999999999997"/>
    <n v="1101.3999999999996"/>
    <x v="2"/>
  </r>
  <r>
    <x v="118"/>
    <x v="0"/>
    <s v="C067"/>
    <x v="165"/>
    <s v="P045"/>
    <s v="Chair 45"/>
    <x v="4"/>
    <x v="0"/>
    <n v="15"/>
    <n v="181.75"/>
    <n v="1555.33"/>
    <n v="2726.25"/>
    <n v="1170.92"/>
    <x v="1"/>
  </r>
  <r>
    <x v="195"/>
    <x v="0"/>
    <s v="C091"/>
    <x v="121"/>
    <s v="P008"/>
    <s v="Backpack 8"/>
    <x v="4"/>
    <x v="2"/>
    <n v="3"/>
    <n v="237.43"/>
    <n v="490.56"/>
    <n v="712.29"/>
    <n v="221.72999999999996"/>
    <x v="0"/>
  </r>
  <r>
    <x v="76"/>
    <x v="0"/>
    <s v="C033"/>
    <x v="105"/>
    <s v="P044"/>
    <s v="Desk Lamp 44"/>
    <x v="4"/>
    <x v="0"/>
    <n v="7"/>
    <n v="480.11"/>
    <n v="2360.8000000000002"/>
    <n v="3360.77"/>
    <n v="999.9699999999998"/>
    <x v="2"/>
  </r>
  <r>
    <x v="107"/>
    <x v="0"/>
    <s v="C012"/>
    <x v="44"/>
    <s v="P018"/>
    <s v="USB Drive 18"/>
    <x v="5"/>
    <x v="0"/>
    <n v="4"/>
    <n v="358.32"/>
    <n v="1035.5899999999999"/>
    <n v="1433.28"/>
    <n v="397.69000000000005"/>
    <x v="0"/>
  </r>
  <r>
    <x v="81"/>
    <x v="0"/>
    <s v="C079"/>
    <x v="162"/>
    <s v="P009"/>
    <s v="Charger 9"/>
    <x v="5"/>
    <x v="3"/>
    <n v="15"/>
    <n v="175.8"/>
    <n v="1763.84"/>
    <n v="2637"/>
    <n v="873.16000000000008"/>
    <x v="1"/>
  </r>
  <r>
    <x v="108"/>
    <x v="0"/>
    <s v="C041"/>
    <x v="33"/>
    <s v="P022"/>
    <s v="USB Drive 22"/>
    <x v="5"/>
    <x v="1"/>
    <n v="1"/>
    <n v="407.67"/>
    <n v="288.17"/>
    <n v="407.67"/>
    <n v="119.5"/>
    <x v="0"/>
  </r>
  <r>
    <x v="196"/>
    <x v="0"/>
    <s v="C018"/>
    <x v="166"/>
    <s v="P004"/>
    <s v="Charger 4"/>
    <x v="5"/>
    <x v="1"/>
    <n v="15"/>
    <n v="272.16000000000003"/>
    <n v="2496.39"/>
    <n v="4082.4000000000005"/>
    <n v="1586.0100000000007"/>
    <x v="2"/>
  </r>
  <r>
    <x v="167"/>
    <x v="0"/>
    <s v="C097"/>
    <x v="132"/>
    <s v="P018"/>
    <s v="USB Drive 18"/>
    <x v="5"/>
    <x v="2"/>
    <n v="3"/>
    <n v="396.35"/>
    <n v="768.01"/>
    <n v="1189.0500000000002"/>
    <n v="421.04000000000019"/>
    <x v="0"/>
  </r>
  <r>
    <x v="102"/>
    <x v="0"/>
    <s v="C079"/>
    <x v="61"/>
    <s v="P018"/>
    <s v="USB Drive 18"/>
    <x v="5"/>
    <x v="1"/>
    <n v="10"/>
    <n v="229.1"/>
    <n v="1720.56"/>
    <n v="2291"/>
    <n v="570.44000000000005"/>
    <x v="1"/>
  </r>
  <r>
    <x v="90"/>
    <x v="0"/>
    <s v="C010"/>
    <x v="48"/>
    <s v="P018"/>
    <s v="USB Drive 18"/>
    <x v="5"/>
    <x v="1"/>
    <n v="10"/>
    <n v="457.33"/>
    <n v="3420.38"/>
    <n v="4573.3"/>
    <n v="1152.92"/>
    <x v="2"/>
  </r>
  <r>
    <x v="129"/>
    <x v="0"/>
    <s v="C035"/>
    <x v="55"/>
    <s v="P018"/>
    <s v="USB Drive 18"/>
    <x v="5"/>
    <x v="3"/>
    <n v="11"/>
    <n v="373.71"/>
    <n v="2576.09"/>
    <n v="4110.8099999999995"/>
    <n v="1534.7199999999993"/>
    <x v="2"/>
  </r>
  <r>
    <x v="111"/>
    <x v="0"/>
    <s v="C035"/>
    <x v="167"/>
    <s v="P018"/>
    <s v="USB Drive 18"/>
    <x v="5"/>
    <x v="3"/>
    <n v="9"/>
    <n v="261.70999999999998"/>
    <n v="1643.71"/>
    <n v="2355.39"/>
    <n v="711.67999999999984"/>
    <x v="1"/>
  </r>
  <r>
    <x v="31"/>
    <x v="0"/>
    <s v="C058"/>
    <x v="106"/>
    <s v="P018"/>
    <s v="USB Drive 18"/>
    <x v="5"/>
    <x v="3"/>
    <n v="6"/>
    <n v="435.98"/>
    <n v="2027.93"/>
    <n v="2615.88"/>
    <n v="587.95000000000005"/>
    <x v="1"/>
  </r>
  <r>
    <x v="197"/>
    <x v="0"/>
    <s v="C019"/>
    <x v="128"/>
    <s v="P018"/>
    <s v="USB Drive 18"/>
    <x v="5"/>
    <x v="3"/>
    <n v="12"/>
    <n v="229.95"/>
    <n v="1782.04"/>
    <n v="2759.3999999999996"/>
    <n v="977.35999999999967"/>
    <x v="1"/>
  </r>
  <r>
    <x v="198"/>
    <x v="0"/>
    <s v="C054"/>
    <x v="84"/>
    <s v="P036"/>
    <s v="Chair 36"/>
    <x v="5"/>
    <x v="3"/>
    <n v="10"/>
    <n v="322.77"/>
    <n v="2632.17"/>
    <n v="3227.7"/>
    <n v="595.52999999999975"/>
    <x v="2"/>
  </r>
  <r>
    <x v="199"/>
    <x v="0"/>
    <s v="C053"/>
    <x v="168"/>
    <s v="P018"/>
    <s v="USB Drive 18"/>
    <x v="5"/>
    <x v="0"/>
    <n v="4"/>
    <n v="278.69"/>
    <n v="585.94000000000005"/>
    <n v="1114.76"/>
    <n v="528.81999999999994"/>
    <x v="0"/>
  </r>
  <r>
    <x v="200"/>
    <x v="0"/>
    <s v="C034"/>
    <x v="166"/>
    <s v="P009"/>
    <s v="Charger 9"/>
    <x v="5"/>
    <x v="2"/>
    <n v="3"/>
    <n v="233.66"/>
    <n v="577.52"/>
    <n v="700.98"/>
    <n v="123.46000000000004"/>
    <x v="0"/>
  </r>
  <r>
    <x v="201"/>
    <x v="0"/>
    <s v="C020"/>
    <x v="91"/>
    <s v="P018"/>
    <s v="USB Drive 18"/>
    <x v="5"/>
    <x v="1"/>
    <n v="20"/>
    <n v="213.11"/>
    <n v="3083.51"/>
    <n v="4262.2000000000007"/>
    <n v="1178.6900000000005"/>
    <x v="2"/>
  </r>
  <r>
    <x v="107"/>
    <x v="0"/>
    <s v="C010"/>
    <x v="169"/>
    <s v="P009"/>
    <s v="Charger 9"/>
    <x v="5"/>
    <x v="2"/>
    <n v="18"/>
    <n v="32.869999999999997"/>
    <n v="458.32"/>
    <n v="591.66"/>
    <n v="133.33999999999997"/>
    <x v="0"/>
  </r>
  <r>
    <x v="140"/>
    <x v="0"/>
    <s v="C099"/>
    <x v="57"/>
    <s v="P018"/>
    <s v="USB Drive 18"/>
    <x v="5"/>
    <x v="1"/>
    <n v="17"/>
    <n v="264.69"/>
    <n v="3079.11"/>
    <n v="4499.7299999999996"/>
    <n v="1420.6199999999994"/>
    <x v="2"/>
  </r>
  <r>
    <x v="98"/>
    <x v="0"/>
    <s v="C023"/>
    <x v="131"/>
    <s v="P018"/>
    <s v="USB Drive 18"/>
    <x v="5"/>
    <x v="1"/>
    <n v="16"/>
    <n v="273.33"/>
    <n v="3184.32"/>
    <n v="4373.28"/>
    <n v="1188.9599999999996"/>
    <x v="2"/>
  </r>
  <r>
    <x v="98"/>
    <x v="0"/>
    <s v="C062"/>
    <x v="21"/>
    <s v="P018"/>
    <s v="USB Drive 18"/>
    <x v="5"/>
    <x v="1"/>
    <n v="10"/>
    <n v="430.8"/>
    <n v="2733.52"/>
    <n v="4308"/>
    <n v="1574.48"/>
    <x v="2"/>
  </r>
  <r>
    <x v="156"/>
    <x v="0"/>
    <s v="C095"/>
    <x v="118"/>
    <s v="P036"/>
    <s v="Chair 36"/>
    <x v="5"/>
    <x v="0"/>
    <n v="5"/>
    <n v="51.84"/>
    <n v="162.15"/>
    <n v="259.20000000000005"/>
    <n v="97.05000000000004"/>
    <x v="0"/>
  </r>
  <r>
    <x v="202"/>
    <x v="0"/>
    <s v="C092"/>
    <x v="170"/>
    <s v="P009"/>
    <s v="Charger 9"/>
    <x v="5"/>
    <x v="2"/>
    <n v="16"/>
    <n v="44.96"/>
    <n v="549.46"/>
    <n v="719.36"/>
    <n v="169.89999999999998"/>
    <x v="0"/>
  </r>
  <r>
    <x v="87"/>
    <x v="0"/>
    <s v="C044"/>
    <x v="115"/>
    <s v="P036"/>
    <s v="Chair 36"/>
    <x v="5"/>
    <x v="2"/>
    <n v="3"/>
    <n v="146.63"/>
    <n v="297.39"/>
    <n v="439.89"/>
    <n v="142.5"/>
    <x v="0"/>
  </r>
  <r>
    <x v="133"/>
    <x v="0"/>
    <s v="C071"/>
    <x v="11"/>
    <s v="P009"/>
    <s v="Charger 9"/>
    <x v="5"/>
    <x v="2"/>
    <n v="11"/>
    <n v="235.87"/>
    <n v="1749.93"/>
    <n v="2594.5700000000002"/>
    <n v="844.6400000000001"/>
    <x v="1"/>
  </r>
  <r>
    <x v="143"/>
    <x v="0"/>
    <s v="C027"/>
    <x v="68"/>
    <s v="P036"/>
    <s v="Chair 36"/>
    <x v="5"/>
    <x v="2"/>
    <n v="13"/>
    <n v="191.28"/>
    <n v="1634.68"/>
    <n v="2486.64"/>
    <n v="851.95999999999981"/>
    <x v="1"/>
  </r>
  <r>
    <x v="31"/>
    <x v="0"/>
    <s v="C068"/>
    <x v="107"/>
    <s v="P004"/>
    <s v="Charger 4"/>
    <x v="5"/>
    <x v="3"/>
    <n v="8"/>
    <n v="293.33999999999997"/>
    <n v="1791.73"/>
    <n v="2346.7199999999998"/>
    <n v="554.98999999999978"/>
    <x v="1"/>
  </r>
  <r>
    <x v="25"/>
    <x v="0"/>
    <s v="C017"/>
    <x v="24"/>
    <s v="P004"/>
    <s v="Charger 4"/>
    <x v="5"/>
    <x v="3"/>
    <n v="8"/>
    <n v="137.77000000000001"/>
    <n v="865.42"/>
    <n v="1102.1600000000001"/>
    <n v="236.74000000000012"/>
    <x v="0"/>
  </r>
  <r>
    <x v="203"/>
    <x v="0"/>
    <s v="C065"/>
    <x v="145"/>
    <s v="P018"/>
    <s v="USB Drive 18"/>
    <x v="5"/>
    <x v="3"/>
    <n v="7"/>
    <n v="336.86"/>
    <n v="1327.76"/>
    <n v="2358.02"/>
    <n v="1030.26"/>
    <x v="1"/>
  </r>
  <r>
    <x v="71"/>
    <x v="0"/>
    <s v="C096"/>
    <x v="171"/>
    <s v="P004"/>
    <s v="Charger 4"/>
    <x v="5"/>
    <x v="0"/>
    <n v="6"/>
    <n v="452.93"/>
    <n v="1660.7"/>
    <n v="2717.58"/>
    <n v="1056.8799999999999"/>
    <x v="1"/>
  </r>
  <r>
    <x v="69"/>
    <x v="0"/>
    <s v="C009"/>
    <x v="172"/>
    <s v="P018"/>
    <s v="USB Drive 18"/>
    <x v="5"/>
    <x v="1"/>
    <n v="15"/>
    <n v="267.85000000000002"/>
    <n v="2735.93"/>
    <n v="4017.7500000000005"/>
    <n v="1281.8200000000006"/>
    <x v="2"/>
  </r>
  <r>
    <x v="204"/>
    <x v="0"/>
    <s v="C088"/>
    <x v="173"/>
    <s v="P009"/>
    <s v="Charger 9"/>
    <x v="5"/>
    <x v="0"/>
    <n v="9"/>
    <n v="426.54"/>
    <n v="2239.88"/>
    <n v="3838.86"/>
    <n v="1598.98"/>
    <x v="2"/>
  </r>
  <r>
    <x v="205"/>
    <x v="0"/>
    <s v="C015"/>
    <x v="133"/>
    <s v="P009"/>
    <s v="Charger 9"/>
    <x v="5"/>
    <x v="0"/>
    <n v="6"/>
    <n v="207.84"/>
    <n v="677.26"/>
    <n v="1247.04"/>
    <n v="569.78"/>
    <x v="0"/>
  </r>
  <r>
    <x v="44"/>
    <x v="0"/>
    <s v="C006"/>
    <x v="57"/>
    <s v="P009"/>
    <s v="Charger 9"/>
    <x v="5"/>
    <x v="1"/>
    <n v="3"/>
    <n v="45.67"/>
    <n v="93.69"/>
    <n v="137.01"/>
    <n v="43.319999999999993"/>
    <x v="0"/>
  </r>
  <r>
    <x v="206"/>
    <x v="0"/>
    <s v="C038"/>
    <x v="61"/>
    <s v="P002"/>
    <s v="Desk Lamp 2"/>
    <x v="6"/>
    <x v="1"/>
    <n v="2"/>
    <n v="73.33"/>
    <n v="119.22"/>
    <n v="146.66"/>
    <n v="27.439999999999998"/>
    <x v="0"/>
  </r>
  <r>
    <x v="164"/>
    <x v="0"/>
    <s v="C043"/>
    <x v="73"/>
    <s v="P002"/>
    <s v="Desk Lamp 2"/>
    <x v="6"/>
    <x v="2"/>
    <n v="3"/>
    <n v="221.06"/>
    <n v="485.14"/>
    <n v="663.18000000000006"/>
    <n v="178.04000000000008"/>
    <x v="0"/>
  </r>
  <r>
    <x v="207"/>
    <x v="0"/>
    <s v="C051"/>
    <x v="174"/>
    <s v="P017"/>
    <s v="Pen Set 17"/>
    <x v="6"/>
    <x v="1"/>
    <n v="19"/>
    <n v="235.83"/>
    <n v="2978.8"/>
    <n v="4480.7700000000004"/>
    <n v="1501.9700000000003"/>
    <x v="2"/>
  </r>
  <r>
    <x v="189"/>
    <x v="0"/>
    <s v="C038"/>
    <x v="175"/>
    <s v="P049"/>
    <s v="USB Drive 49"/>
    <x v="6"/>
    <x v="2"/>
    <n v="17"/>
    <n v="151.05000000000001"/>
    <n v="1716.85"/>
    <n v="2567.8500000000004"/>
    <n v="851.00000000000045"/>
    <x v="1"/>
  </r>
  <r>
    <x v="85"/>
    <x v="0"/>
    <s v="C019"/>
    <x v="26"/>
    <s v="P017"/>
    <s v="Pen Set 17"/>
    <x v="6"/>
    <x v="1"/>
    <n v="5"/>
    <n v="44.07"/>
    <n v="153.94999999999999"/>
    <n v="220.35"/>
    <n v="66.400000000000006"/>
    <x v="0"/>
  </r>
  <r>
    <x v="172"/>
    <x v="0"/>
    <s v="C029"/>
    <x v="121"/>
    <s v="P002"/>
    <s v="Desk Lamp 2"/>
    <x v="6"/>
    <x v="1"/>
    <n v="14"/>
    <n v="118.82"/>
    <n v="857.4"/>
    <n v="1663.48"/>
    <n v="806.08"/>
    <x v="1"/>
  </r>
  <r>
    <x v="208"/>
    <x v="0"/>
    <s v="C096"/>
    <x v="176"/>
    <s v="P014"/>
    <s v="Backpack 14"/>
    <x v="6"/>
    <x v="0"/>
    <n v="15"/>
    <n v="52.92"/>
    <n v="441.41"/>
    <n v="793.80000000000007"/>
    <n v="352.39000000000004"/>
    <x v="0"/>
  </r>
  <r>
    <x v="103"/>
    <x v="0"/>
    <s v="C087"/>
    <x v="25"/>
    <s v="P046"/>
    <s v="Desk Lamp 46"/>
    <x v="6"/>
    <x v="1"/>
    <n v="1"/>
    <n v="295.5"/>
    <n v="208.4"/>
    <n v="295.5"/>
    <n v="87.1"/>
    <x v="0"/>
  </r>
  <r>
    <x v="135"/>
    <x v="0"/>
    <s v="C046"/>
    <x v="177"/>
    <s v="P040"/>
    <s v="Backpack 40"/>
    <x v="6"/>
    <x v="0"/>
    <n v="1"/>
    <n v="451.39"/>
    <n v="312.98"/>
    <n v="451.39"/>
    <n v="138.40999999999997"/>
    <x v="0"/>
  </r>
  <r>
    <x v="101"/>
    <x v="0"/>
    <s v="C053"/>
    <x v="61"/>
    <s v="P049"/>
    <s v="USB Drive 49"/>
    <x v="6"/>
    <x v="2"/>
    <n v="9"/>
    <n v="449.64"/>
    <n v="2589.48"/>
    <n v="4046.7599999999998"/>
    <n v="1457.2799999999997"/>
    <x v="2"/>
  </r>
  <r>
    <x v="74"/>
    <x v="0"/>
    <s v="C026"/>
    <x v="168"/>
    <s v="P046"/>
    <s v="Desk Lamp 46"/>
    <x v="6"/>
    <x v="0"/>
    <n v="13"/>
    <n v="56.03"/>
    <n v="551.46"/>
    <n v="728.39"/>
    <n v="176.92999999999995"/>
    <x v="0"/>
  </r>
  <r>
    <x v="209"/>
    <x v="0"/>
    <s v="C039"/>
    <x v="178"/>
    <s v="P046"/>
    <s v="Desk Lamp 46"/>
    <x v="6"/>
    <x v="3"/>
    <n v="15"/>
    <n v="236.93"/>
    <n v="2668.48"/>
    <n v="3553.9500000000003"/>
    <n v="885.47000000000025"/>
    <x v="2"/>
  </r>
  <r>
    <x v="210"/>
    <x v="0"/>
    <s v="C062"/>
    <x v="53"/>
    <s v="P020"/>
    <s v="Desk Lamp 20"/>
    <x v="6"/>
    <x v="2"/>
    <n v="6"/>
    <n v="322.10000000000002"/>
    <n v="1229.6600000000001"/>
    <n v="1932.6000000000001"/>
    <n v="702.94"/>
    <x v="1"/>
  </r>
  <r>
    <x v="124"/>
    <x v="0"/>
    <s v="C020"/>
    <x v="86"/>
    <s v="P049"/>
    <s v="USB Drive 49"/>
    <x v="6"/>
    <x v="3"/>
    <n v="4"/>
    <n v="197.72"/>
    <n v="478.36"/>
    <n v="790.88"/>
    <n v="312.52"/>
    <x v="0"/>
  </r>
  <r>
    <x v="211"/>
    <x v="0"/>
    <s v="C028"/>
    <x v="83"/>
    <s v="P049"/>
    <s v="USB Drive 49"/>
    <x v="6"/>
    <x v="0"/>
    <n v="3"/>
    <n v="65.13"/>
    <n v="153.35"/>
    <n v="195.39"/>
    <n v="42.039999999999992"/>
    <x v="0"/>
  </r>
  <r>
    <x v="18"/>
    <x v="0"/>
    <s v="C099"/>
    <x v="34"/>
    <s v="P020"/>
    <s v="Desk Lamp 20"/>
    <x v="6"/>
    <x v="1"/>
    <n v="3"/>
    <n v="102.24"/>
    <n v="177.14"/>
    <n v="306.71999999999997"/>
    <n v="129.57999999999998"/>
    <x v="0"/>
  </r>
  <r>
    <x v="147"/>
    <x v="0"/>
    <s v="C027"/>
    <x v="90"/>
    <s v="P006"/>
    <s v="Chair 6"/>
    <x v="6"/>
    <x v="2"/>
    <n v="15"/>
    <n v="224.53"/>
    <n v="2022.54"/>
    <n v="3367.95"/>
    <n v="1345.4099999999999"/>
    <x v="2"/>
  </r>
  <r>
    <x v="158"/>
    <x v="0"/>
    <s v="C025"/>
    <x v="163"/>
    <s v="P017"/>
    <s v="Pen Set 17"/>
    <x v="6"/>
    <x v="0"/>
    <n v="9"/>
    <n v="305.23"/>
    <n v="1991.26"/>
    <n v="2747.07"/>
    <n v="755.81000000000017"/>
    <x v="1"/>
  </r>
  <r>
    <x v="19"/>
    <x v="0"/>
    <s v="C069"/>
    <x v="179"/>
    <s v="P035"/>
    <s v="Charger 35"/>
    <x v="6"/>
    <x v="3"/>
    <n v="18"/>
    <n v="90.62"/>
    <n v="1105.8800000000001"/>
    <n v="1631.16"/>
    <n v="525.28"/>
    <x v="1"/>
  </r>
  <r>
    <x v="18"/>
    <x v="0"/>
    <s v="C006"/>
    <x v="180"/>
    <s v="P046"/>
    <s v="Desk Lamp 46"/>
    <x v="6"/>
    <x v="2"/>
    <n v="8"/>
    <n v="234.79"/>
    <n v="1202.3399999999999"/>
    <n v="1878.32"/>
    <n v="675.98"/>
    <x v="1"/>
  </r>
  <r>
    <x v="74"/>
    <x v="0"/>
    <s v="C006"/>
    <x v="104"/>
    <s v="P049"/>
    <s v="USB Drive 49"/>
    <x v="6"/>
    <x v="3"/>
    <n v="1"/>
    <n v="191.69"/>
    <n v="114.37"/>
    <n v="191.69"/>
    <n v="77.319999999999993"/>
    <x v="0"/>
  </r>
  <r>
    <x v="3"/>
    <x v="0"/>
    <s v="C072"/>
    <x v="153"/>
    <s v="P035"/>
    <s v="Charger 35"/>
    <x v="6"/>
    <x v="0"/>
    <n v="8"/>
    <n v="412.87"/>
    <n v="2797.84"/>
    <n v="3302.96"/>
    <n v="505.11999999999989"/>
    <x v="2"/>
  </r>
  <r>
    <x v="212"/>
    <x v="0"/>
    <s v="C082"/>
    <x v="165"/>
    <s v="P006"/>
    <s v="Chair 6"/>
    <x v="6"/>
    <x v="1"/>
    <n v="1"/>
    <n v="89.08"/>
    <n v="54.93"/>
    <n v="89.08"/>
    <n v="34.15"/>
    <x v="0"/>
  </r>
  <r>
    <x v="179"/>
    <x v="0"/>
    <s v="C055"/>
    <x v="100"/>
    <s v="P040"/>
    <s v="Backpack 40"/>
    <x v="6"/>
    <x v="3"/>
    <n v="16"/>
    <n v="184.64"/>
    <n v="1732.49"/>
    <n v="2954.24"/>
    <n v="1221.7499999999998"/>
    <x v="1"/>
  </r>
  <r>
    <x v="205"/>
    <x v="0"/>
    <s v="C064"/>
    <x v="108"/>
    <s v="P046"/>
    <s v="Desk Lamp 46"/>
    <x v="6"/>
    <x v="1"/>
    <n v="6"/>
    <n v="98.15"/>
    <n v="365.28"/>
    <n v="588.90000000000009"/>
    <n v="223.62000000000012"/>
    <x v="0"/>
  </r>
  <r>
    <x v="213"/>
    <x v="0"/>
    <s v="C075"/>
    <x v="181"/>
    <s v="P046"/>
    <s v="Desk Lamp 46"/>
    <x v="6"/>
    <x v="0"/>
    <n v="1"/>
    <n v="258.31"/>
    <n v="196.61"/>
    <n v="258.31"/>
    <n v="61.699999999999989"/>
    <x v="0"/>
  </r>
  <r>
    <x v="127"/>
    <x v="0"/>
    <s v="C018"/>
    <x v="182"/>
    <s v="P002"/>
    <s v="Desk Lamp 2"/>
    <x v="6"/>
    <x v="1"/>
    <n v="6"/>
    <n v="472.14"/>
    <n v="2250.62"/>
    <n v="2832.84"/>
    <n v="582.22000000000025"/>
    <x v="1"/>
  </r>
  <r>
    <x v="214"/>
    <x v="0"/>
    <s v="C080"/>
    <x v="73"/>
    <s v="P017"/>
    <s v="Pen Set 17"/>
    <x v="6"/>
    <x v="2"/>
    <n v="11"/>
    <n v="216.74"/>
    <n v="1646.84"/>
    <n v="2384.1400000000003"/>
    <n v="737.30000000000041"/>
    <x v="1"/>
  </r>
  <r>
    <x v="46"/>
    <x v="0"/>
    <s v="C031"/>
    <x v="183"/>
    <s v="P017"/>
    <s v="Pen Set 17"/>
    <x v="6"/>
    <x v="1"/>
    <n v="1"/>
    <n v="243.83"/>
    <n v="177.91"/>
    <n v="243.83"/>
    <n v="65.920000000000016"/>
    <x v="0"/>
  </r>
  <r>
    <x v="24"/>
    <x v="0"/>
    <s v="C057"/>
    <x v="56"/>
    <s v="P020"/>
    <s v="Desk Lamp 20"/>
    <x v="6"/>
    <x v="2"/>
    <n v="1"/>
    <n v="290.45999999999998"/>
    <n v="187.13"/>
    <n v="290.45999999999998"/>
    <n v="103.32999999999998"/>
    <x v="0"/>
  </r>
  <r>
    <x v="215"/>
    <x v="0"/>
    <s v="C016"/>
    <x v="184"/>
    <s v="P006"/>
    <s v="Chair 6"/>
    <x v="6"/>
    <x v="3"/>
    <n v="10"/>
    <n v="364.69"/>
    <n v="2425.81"/>
    <n v="3646.9"/>
    <n v="1221.0900000000001"/>
    <x v="2"/>
  </r>
  <r>
    <x v="216"/>
    <x v="0"/>
    <s v="C077"/>
    <x v="185"/>
    <s v="P002"/>
    <s v="Desk Lamp 2"/>
    <x v="6"/>
    <x v="1"/>
    <n v="5"/>
    <n v="283.66000000000003"/>
    <n v="1093.54"/>
    <n v="1418.3000000000002"/>
    <n v="324.76000000000022"/>
    <x v="0"/>
  </r>
  <r>
    <x v="67"/>
    <x v="0"/>
    <s v="C002"/>
    <x v="126"/>
    <s v="P006"/>
    <s v="Chair 6"/>
    <x v="6"/>
    <x v="1"/>
    <n v="15"/>
    <n v="76.92"/>
    <n v="721.61"/>
    <n v="1153.8"/>
    <n v="432.18999999999994"/>
    <x v="0"/>
  </r>
  <r>
    <x v="217"/>
    <x v="0"/>
    <s v="C076"/>
    <x v="43"/>
    <s v="P006"/>
    <s v="Chair 6"/>
    <x v="6"/>
    <x v="1"/>
    <n v="11"/>
    <n v="277.77999999999997"/>
    <n v="2444.86"/>
    <n v="3055.58"/>
    <n v="610.7199999999998"/>
    <x v="2"/>
  </r>
  <r>
    <x v="198"/>
    <x v="0"/>
    <s v="C090"/>
    <x v="186"/>
    <s v="P006"/>
    <s v="Chair 6"/>
    <x v="6"/>
    <x v="3"/>
    <n v="10"/>
    <n v="111.27"/>
    <n v="633.16"/>
    <n v="1112.7"/>
    <n v="479.54000000000008"/>
    <x v="0"/>
  </r>
  <r>
    <x v="110"/>
    <x v="0"/>
    <s v="C036"/>
    <x v="83"/>
    <s v="P046"/>
    <s v="Desk Lamp 46"/>
    <x v="6"/>
    <x v="3"/>
    <n v="1"/>
    <n v="167.37"/>
    <n v="103.81"/>
    <n v="167.37"/>
    <n v="63.56"/>
    <x v="0"/>
  </r>
  <r>
    <x v="190"/>
    <x v="0"/>
    <s v="C025"/>
    <x v="10"/>
    <s v="P002"/>
    <s v="Desk Lamp 2"/>
    <x v="6"/>
    <x v="1"/>
    <n v="1"/>
    <n v="70.62"/>
    <n v="43.51"/>
    <n v="70.62"/>
    <n v="27.110000000000007"/>
    <x v="0"/>
  </r>
  <r>
    <x v="218"/>
    <x v="0"/>
    <s v="C055"/>
    <x v="187"/>
    <s v="P046"/>
    <s v="Desk Lamp 46"/>
    <x v="6"/>
    <x v="1"/>
    <n v="11"/>
    <n v="151.02000000000001"/>
    <n v="1215.56"/>
    <n v="1661.22"/>
    <n v="445.66000000000008"/>
    <x v="1"/>
  </r>
  <r>
    <x v="219"/>
    <x v="0"/>
    <s v="C016"/>
    <x v="67"/>
    <s v="P020"/>
    <s v="Desk Lamp 20"/>
    <x v="6"/>
    <x v="3"/>
    <n v="18"/>
    <n v="269.18"/>
    <n v="3300.15"/>
    <n v="4845.24"/>
    <n v="1545.0899999999997"/>
    <x v="2"/>
  </r>
  <r>
    <x v="220"/>
    <x v="0"/>
    <s v="C032"/>
    <x v="105"/>
    <s v="P049"/>
    <s v="USB Drive 49"/>
    <x v="6"/>
    <x v="3"/>
    <n v="3"/>
    <n v="375.94"/>
    <n v="795.77"/>
    <n v="1127.82"/>
    <n v="332.04999999999995"/>
    <x v="0"/>
  </r>
  <r>
    <x v="221"/>
    <x v="0"/>
    <s v="C084"/>
    <x v="127"/>
    <s v="P049"/>
    <s v="USB Drive 49"/>
    <x v="6"/>
    <x v="3"/>
    <n v="8"/>
    <n v="38.700000000000003"/>
    <n v="246.85"/>
    <n v="309.60000000000002"/>
    <n v="62.750000000000028"/>
    <x v="0"/>
  </r>
  <r>
    <x v="209"/>
    <x v="0"/>
    <s v="C071"/>
    <x v="188"/>
    <s v="P006"/>
    <s v="Chair 6"/>
    <x v="6"/>
    <x v="1"/>
    <n v="6"/>
    <n v="426.12"/>
    <n v="2033.39"/>
    <n v="2556.7200000000003"/>
    <n v="523.33000000000015"/>
    <x v="1"/>
  </r>
  <r>
    <x v="208"/>
    <x v="0"/>
    <s v="C020"/>
    <x v="157"/>
    <s v="P006"/>
    <s v="Chair 6"/>
    <x v="6"/>
    <x v="3"/>
    <n v="10"/>
    <n v="276.63"/>
    <n v="1820.64"/>
    <n v="2766.3"/>
    <n v="945.66000000000008"/>
    <x v="1"/>
  </r>
  <r>
    <x v="30"/>
    <x v="0"/>
    <s v="C023"/>
    <x v="141"/>
    <s v="P002"/>
    <s v="Desk Lamp 2"/>
    <x v="6"/>
    <x v="2"/>
    <n v="16"/>
    <n v="82.81"/>
    <n v="830.57"/>
    <n v="1324.96"/>
    <n v="494.39"/>
    <x v="0"/>
  </r>
  <r>
    <x v="222"/>
    <x v="0"/>
    <s v="C067"/>
    <x v="126"/>
    <s v="P014"/>
    <s v="Backpack 14"/>
    <x v="6"/>
    <x v="1"/>
    <n v="8"/>
    <n v="462.85"/>
    <n v="2295.48"/>
    <n v="3702.8"/>
    <n v="1407.3200000000002"/>
    <x v="2"/>
  </r>
  <r>
    <x v="146"/>
    <x v="0"/>
    <s v="C019"/>
    <x v="189"/>
    <s v="P035"/>
    <s v="Charger 35"/>
    <x v="6"/>
    <x v="2"/>
    <n v="20"/>
    <n v="227.07"/>
    <n v="3051.73"/>
    <n v="4541.3999999999996"/>
    <n v="1489.6699999999996"/>
    <x v="2"/>
  </r>
  <r>
    <x v="127"/>
    <x v="0"/>
    <s v="C052"/>
    <x v="99"/>
    <s v="P049"/>
    <s v="USB Drive 49"/>
    <x v="6"/>
    <x v="0"/>
    <n v="7"/>
    <n v="476.38"/>
    <n v="1889.3"/>
    <n v="3334.66"/>
    <n v="1445.36"/>
    <x v="2"/>
  </r>
  <r>
    <x v="74"/>
    <x v="0"/>
    <s v="C074"/>
    <x v="50"/>
    <s v="P035"/>
    <s v="Charger 35"/>
    <x v="6"/>
    <x v="3"/>
    <n v="4"/>
    <n v="309.83999999999997"/>
    <n v="709.3"/>
    <n v="1239.3599999999999"/>
    <n v="530.05999999999995"/>
    <x v="0"/>
  </r>
  <r>
    <x v="90"/>
    <x v="0"/>
    <s v="C085"/>
    <x v="190"/>
    <s v="P017"/>
    <s v="Pen Set 17"/>
    <x v="6"/>
    <x v="1"/>
    <n v="2"/>
    <n v="187.75"/>
    <n v="308.77"/>
    <n v="375.5"/>
    <n v="66.730000000000018"/>
    <x v="0"/>
  </r>
  <r>
    <x v="149"/>
    <x v="0"/>
    <s v="C084"/>
    <x v="134"/>
    <s v="P017"/>
    <s v="Pen Set 17"/>
    <x v="6"/>
    <x v="2"/>
    <n v="17"/>
    <n v="90.2"/>
    <n v="1114.5899999999999"/>
    <n v="1533.4"/>
    <n v="418.81000000000017"/>
    <x v="1"/>
  </r>
  <r>
    <x v="79"/>
    <x v="0"/>
    <s v="C029"/>
    <x v="191"/>
    <s v="P049"/>
    <s v="USB Drive 49"/>
    <x v="6"/>
    <x v="3"/>
    <n v="8"/>
    <n v="428.91"/>
    <n v="2342.89"/>
    <n v="3431.28"/>
    <n v="1088.3900000000003"/>
    <x v="2"/>
  </r>
  <r>
    <x v="223"/>
    <x v="0"/>
    <s v="C016"/>
    <x v="112"/>
    <s v="P014"/>
    <s v="Backpack 14"/>
    <x v="6"/>
    <x v="1"/>
    <n v="5"/>
    <n v="141.44"/>
    <n v="389.5"/>
    <n v="707.2"/>
    <n v="317.70000000000005"/>
    <x v="0"/>
  </r>
  <r>
    <x v="116"/>
    <x v="0"/>
    <s v="C096"/>
    <x v="52"/>
    <s v="P046"/>
    <s v="Desk Lamp 46"/>
    <x v="6"/>
    <x v="0"/>
    <n v="3"/>
    <n v="340.16"/>
    <n v="751.38"/>
    <n v="1020.48"/>
    <n v="269.10000000000002"/>
    <x v="0"/>
  </r>
  <r>
    <x v="181"/>
    <x v="0"/>
    <s v="C099"/>
    <x v="110"/>
    <s v="P006"/>
    <s v="Chair 6"/>
    <x v="6"/>
    <x v="2"/>
    <n v="8"/>
    <n v="177.66"/>
    <n v="771.7"/>
    <n v="1421.28"/>
    <n v="649.57999999999993"/>
    <x v="0"/>
  </r>
  <r>
    <x v="3"/>
    <x v="0"/>
    <s v="C003"/>
    <x v="87"/>
    <s v="P006"/>
    <s v="Chair 6"/>
    <x v="6"/>
    <x v="1"/>
    <n v="7"/>
    <n v="413.69"/>
    <n v="1970.34"/>
    <n v="2895.83"/>
    <n v="925.49"/>
    <x v="1"/>
  </r>
  <r>
    <x v="224"/>
    <x v="0"/>
    <s v="C093"/>
    <x v="49"/>
    <s v="P049"/>
    <s v="USB Drive 49"/>
    <x v="6"/>
    <x v="3"/>
    <n v="7"/>
    <n v="87.34"/>
    <n v="471.19"/>
    <n v="611.38"/>
    <n v="140.19"/>
    <x v="0"/>
  </r>
  <r>
    <x v="147"/>
    <x v="0"/>
    <s v="C022"/>
    <x v="138"/>
    <s v="P035"/>
    <s v="Charger 35"/>
    <x v="6"/>
    <x v="3"/>
    <n v="17"/>
    <n v="136.94"/>
    <n v="1848.14"/>
    <n v="2327.98"/>
    <n v="479.83999999999992"/>
    <x v="1"/>
  </r>
  <r>
    <x v="23"/>
    <x v="0"/>
    <s v="C005"/>
    <x v="85"/>
    <s v="P046"/>
    <s v="Desk Lamp 46"/>
    <x v="6"/>
    <x v="2"/>
    <n v="4"/>
    <n v="120.81"/>
    <n v="258.5"/>
    <n v="483.24"/>
    <n v="224.74"/>
    <x v="0"/>
  </r>
  <r>
    <x v="225"/>
    <x v="0"/>
    <s v="C098"/>
    <x v="70"/>
    <s v="P006"/>
    <s v="Chair 6"/>
    <x v="6"/>
    <x v="3"/>
    <n v="10"/>
    <n v="230.58"/>
    <n v="1543.13"/>
    <n v="2305.8000000000002"/>
    <n v="762.67000000000007"/>
    <x v="1"/>
  </r>
  <r>
    <x v="226"/>
    <x v="0"/>
    <s v="C017"/>
    <x v="114"/>
    <s v="P014"/>
    <s v="Backpack 14"/>
    <x v="6"/>
    <x v="1"/>
    <n v="10"/>
    <n v="175.82"/>
    <n v="1187.96"/>
    <n v="1758.1999999999998"/>
    <n v="570.23999999999978"/>
    <x v="1"/>
  </r>
  <r>
    <x v="6"/>
    <x v="0"/>
    <s v="C095"/>
    <x v="73"/>
    <s v="P002"/>
    <s v="Desk Lamp 2"/>
    <x v="6"/>
    <x v="2"/>
    <n v="14"/>
    <n v="139.07"/>
    <n v="1287.98"/>
    <n v="1946.98"/>
    <n v="659"/>
    <x v="1"/>
  </r>
  <r>
    <x v="94"/>
    <x v="0"/>
    <s v="C057"/>
    <x v="192"/>
    <s v="P002"/>
    <s v="Desk Lamp 2"/>
    <x v="6"/>
    <x v="0"/>
    <n v="16"/>
    <n v="170.41"/>
    <n v="1769"/>
    <n v="2726.56"/>
    <n v="957.56"/>
    <x v="1"/>
  </r>
  <r>
    <x v="178"/>
    <x v="0"/>
    <s v="C048"/>
    <x v="21"/>
    <s v="P014"/>
    <s v="Backpack 14"/>
    <x v="6"/>
    <x v="0"/>
    <n v="1"/>
    <n v="272.36"/>
    <n v="157.91"/>
    <n v="272.36"/>
    <n v="114.45000000000002"/>
    <x v="0"/>
  </r>
  <r>
    <x v="102"/>
    <x v="0"/>
    <s v="C100"/>
    <x v="84"/>
    <s v="P040"/>
    <s v="Backpack 40"/>
    <x v="6"/>
    <x v="3"/>
    <n v="1"/>
    <n v="178.16"/>
    <n v="96.75"/>
    <n v="178.16"/>
    <n v="81.41"/>
    <x v="0"/>
  </r>
  <r>
    <x v="204"/>
    <x v="0"/>
    <s v="C024"/>
    <x v="65"/>
    <s v="P040"/>
    <s v="Backpack 40"/>
    <x v="6"/>
    <x v="0"/>
    <n v="3"/>
    <n v="486.92"/>
    <n v="977.67"/>
    <n v="1460.76"/>
    <n v="483.09000000000003"/>
    <x v="0"/>
  </r>
  <r>
    <x v="227"/>
    <x v="0"/>
    <s v="C031"/>
    <x v="153"/>
    <s v="P014"/>
    <s v="Backpack 14"/>
    <x v="6"/>
    <x v="1"/>
    <n v="14"/>
    <n v="225.63"/>
    <n v="2276.58"/>
    <n v="3158.8199999999997"/>
    <n v="882.23999999999978"/>
    <x v="2"/>
  </r>
  <r>
    <x v="47"/>
    <x v="0"/>
    <s v="C085"/>
    <x v="193"/>
    <s v="P002"/>
    <s v="Desk Lamp 2"/>
    <x v="6"/>
    <x v="1"/>
    <n v="5"/>
    <n v="381.24"/>
    <n v="1513.89"/>
    <n v="1906.2"/>
    <n v="392.30999999999995"/>
    <x v="1"/>
  </r>
  <r>
    <x v="228"/>
    <x v="0"/>
    <s v="C053"/>
    <x v="7"/>
    <s v="P017"/>
    <s v="Pen Set 17"/>
    <x v="6"/>
    <x v="1"/>
    <n v="12"/>
    <n v="44.17"/>
    <n v="390.82"/>
    <n v="530.04"/>
    <n v="139.21999999999997"/>
    <x v="0"/>
  </r>
  <r>
    <x v="14"/>
    <x v="0"/>
    <s v="C049"/>
    <x v="40"/>
    <s v="P002"/>
    <s v="Desk Lamp 2"/>
    <x v="6"/>
    <x v="1"/>
    <n v="14"/>
    <n v="48.61"/>
    <n v="538.67999999999995"/>
    <n v="680.54"/>
    <n v="141.86000000000001"/>
    <x v="0"/>
  </r>
  <r>
    <x v="106"/>
    <x v="0"/>
    <s v="C021"/>
    <x v="46"/>
    <s v="P006"/>
    <s v="Chair 6"/>
    <x v="6"/>
    <x v="2"/>
    <n v="3"/>
    <n v="280.52999999999997"/>
    <n v="573.45000000000005"/>
    <n v="841.58999999999992"/>
    <n v="268.13999999999987"/>
    <x v="0"/>
  </r>
  <r>
    <x v="216"/>
    <x v="0"/>
    <s v="C088"/>
    <x v="80"/>
    <s v="P017"/>
    <s v="Pen Set 17"/>
    <x v="6"/>
    <x v="1"/>
    <n v="10"/>
    <n v="370.04"/>
    <n v="2727.9"/>
    <n v="3700.4"/>
    <n v="972.5"/>
    <x v="2"/>
  </r>
  <r>
    <x v="31"/>
    <x v="0"/>
    <s v="C023"/>
    <x v="113"/>
    <s v="P046"/>
    <s v="Desk Lamp 46"/>
    <x v="6"/>
    <x v="2"/>
    <n v="16"/>
    <n v="111.25"/>
    <n v="1003.15"/>
    <n v="1780"/>
    <n v="776.85"/>
    <x v="1"/>
  </r>
  <r>
    <x v="94"/>
    <x v="0"/>
    <s v="C075"/>
    <x v="66"/>
    <s v="P040"/>
    <s v="Backpack 40"/>
    <x v="6"/>
    <x v="2"/>
    <n v="11"/>
    <n v="227.9"/>
    <n v="1736.6"/>
    <n v="2506.9"/>
    <n v="770.30000000000018"/>
    <x v="1"/>
  </r>
  <r>
    <x v="39"/>
    <x v="0"/>
    <s v="C085"/>
    <x v="117"/>
    <s v="P020"/>
    <s v="Desk Lamp 20"/>
    <x v="6"/>
    <x v="3"/>
    <n v="10"/>
    <n v="180.01"/>
    <n v="1096.32"/>
    <n v="1800.1"/>
    <n v="703.78"/>
    <x v="1"/>
  </r>
  <r>
    <x v="119"/>
    <x v="0"/>
    <s v="C095"/>
    <x v="6"/>
    <s v="P020"/>
    <s v="Desk Lamp 20"/>
    <x v="6"/>
    <x v="0"/>
    <n v="4"/>
    <n v="332.17"/>
    <n v="865.37"/>
    <n v="1328.68"/>
    <n v="463.31000000000006"/>
    <x v="0"/>
  </r>
  <r>
    <x v="155"/>
    <x v="0"/>
    <s v="C098"/>
    <x v="135"/>
    <s v="P046"/>
    <s v="Desk Lamp 46"/>
    <x v="6"/>
    <x v="1"/>
    <n v="17"/>
    <n v="61.13"/>
    <n v="679.37"/>
    <n v="1039.21"/>
    <n v="359.84000000000003"/>
    <x v="0"/>
  </r>
  <r>
    <x v="204"/>
    <x v="0"/>
    <s v="C087"/>
    <x v="164"/>
    <s v="P006"/>
    <s v="Chair 6"/>
    <x v="6"/>
    <x v="2"/>
    <n v="11"/>
    <n v="145.1"/>
    <n v="1180.55"/>
    <n v="1596.1"/>
    <n v="415.54999999999995"/>
    <x v="1"/>
  </r>
  <r>
    <x v="11"/>
    <x v="0"/>
    <s v="C086"/>
    <x v="194"/>
    <s v="P049"/>
    <s v="USB Drive 49"/>
    <x v="6"/>
    <x v="2"/>
    <n v="12"/>
    <n v="245.29"/>
    <n v="2053.31"/>
    <n v="2943.48"/>
    <n v="890.17000000000007"/>
    <x v="1"/>
  </r>
  <r>
    <x v="229"/>
    <x v="0"/>
    <s v="C011"/>
    <x v="67"/>
    <s v="P014"/>
    <s v="Backpack 14"/>
    <x v="6"/>
    <x v="0"/>
    <n v="12"/>
    <n v="91.77"/>
    <n v="634.57000000000005"/>
    <n v="1101.24"/>
    <n v="466.66999999999996"/>
    <x v="0"/>
  </r>
  <r>
    <x v="95"/>
    <x v="0"/>
    <s v="C002"/>
    <x v="121"/>
    <s v="P017"/>
    <s v="Pen Set 17"/>
    <x v="6"/>
    <x v="3"/>
    <n v="15"/>
    <n v="150.11000000000001"/>
    <n v="1497.83"/>
    <n v="2251.65"/>
    <n v="753.82000000000016"/>
    <x v="1"/>
  </r>
  <r>
    <x v="29"/>
    <x v="0"/>
    <s v="C063"/>
    <x v="54"/>
    <s v="P020"/>
    <s v="Desk Lamp 20"/>
    <x v="6"/>
    <x v="1"/>
    <n v="3"/>
    <n v="284.04000000000002"/>
    <n v="613.94000000000005"/>
    <n v="852.12000000000012"/>
    <n v="238.18000000000006"/>
    <x v="0"/>
  </r>
  <r>
    <x v="122"/>
    <x v="0"/>
    <s v="C006"/>
    <x v="85"/>
    <s v="P020"/>
    <s v="Desk Lamp 20"/>
    <x v="6"/>
    <x v="3"/>
    <n v="9"/>
    <n v="84.24"/>
    <n v="534.59"/>
    <n v="758.16"/>
    <n v="223.56999999999994"/>
    <x v="0"/>
  </r>
  <r>
    <x v="200"/>
    <x v="0"/>
    <s v="C044"/>
    <x v="23"/>
    <s v="P049"/>
    <s v="USB Drive 49"/>
    <x v="6"/>
    <x v="1"/>
    <n v="13"/>
    <n v="246.01"/>
    <n v="2619.58"/>
    <n v="3198.13"/>
    <n v="578.55000000000018"/>
    <x v="2"/>
  </r>
  <r>
    <x v="57"/>
    <x v="0"/>
    <s v="C027"/>
    <x v="144"/>
    <s v="P002"/>
    <s v="Desk Lamp 2"/>
    <x v="6"/>
    <x v="0"/>
    <n v="7"/>
    <n v="431.12"/>
    <n v="2003.11"/>
    <n v="3017.84"/>
    <n v="1014.7300000000002"/>
    <x v="2"/>
  </r>
  <r>
    <x v="67"/>
    <x v="0"/>
    <s v="C058"/>
    <x v="138"/>
    <s v="P020"/>
    <s v="Desk Lamp 20"/>
    <x v="6"/>
    <x v="3"/>
    <n v="12"/>
    <n v="238.68"/>
    <n v="1837.93"/>
    <n v="2864.16"/>
    <n v="1026.2299999999998"/>
    <x v="1"/>
  </r>
  <r>
    <x v="127"/>
    <x v="0"/>
    <s v="C082"/>
    <x v="149"/>
    <s v="P006"/>
    <s v="Chair 6"/>
    <x v="6"/>
    <x v="0"/>
    <n v="1"/>
    <n v="412.86"/>
    <n v="212.96"/>
    <n v="412.86"/>
    <n v="199.9"/>
    <x v="0"/>
  </r>
  <r>
    <x v="230"/>
    <x v="0"/>
    <s v="C073"/>
    <x v="14"/>
    <s v="P040"/>
    <s v="Backpack 40"/>
    <x v="6"/>
    <x v="3"/>
    <n v="2"/>
    <n v="421.01"/>
    <n v="545.1"/>
    <n v="842.02"/>
    <n v="296.91999999999996"/>
    <x v="0"/>
  </r>
  <r>
    <x v="47"/>
    <x v="0"/>
    <s v="C047"/>
    <x v="57"/>
    <s v="P017"/>
    <s v="Pen Set 17"/>
    <x v="6"/>
    <x v="1"/>
    <n v="8"/>
    <n v="419.86"/>
    <n v="2222.79"/>
    <n v="3358.88"/>
    <n v="1136.0900000000001"/>
    <x v="2"/>
  </r>
  <r>
    <x v="183"/>
    <x v="0"/>
    <s v="C089"/>
    <x v="195"/>
    <s v="P049"/>
    <s v="USB Drive 49"/>
    <x v="6"/>
    <x v="3"/>
    <n v="6"/>
    <n v="196.21"/>
    <n v="713.83"/>
    <n v="1177.26"/>
    <n v="463.42999999999995"/>
    <x v="0"/>
  </r>
  <r>
    <x v="173"/>
    <x v="0"/>
    <s v="C063"/>
    <x v="86"/>
    <s v="P017"/>
    <s v="Pen Set 17"/>
    <x v="6"/>
    <x v="0"/>
    <n v="8"/>
    <n v="222.57"/>
    <n v="1163.6300000000001"/>
    <n v="1780.56"/>
    <n v="616.92999999999984"/>
    <x v="1"/>
  </r>
  <r>
    <x v="77"/>
    <x v="0"/>
    <s v="C066"/>
    <x v="11"/>
    <s v="P017"/>
    <s v="Pen Set 17"/>
    <x v="6"/>
    <x v="1"/>
    <n v="10"/>
    <n v="488.89"/>
    <n v="3375.15"/>
    <n v="4888.8999999999996"/>
    <n v="1513.7499999999995"/>
    <x v="2"/>
  </r>
  <r>
    <x v="231"/>
    <x v="0"/>
    <s v="C034"/>
    <x v="83"/>
    <s v="P040"/>
    <s v="Backpack 40"/>
    <x v="6"/>
    <x v="0"/>
    <n v="3"/>
    <n v="237.43"/>
    <n v="455.96"/>
    <n v="712.29"/>
    <n v="256.33"/>
    <x v="0"/>
  </r>
  <r>
    <x v="195"/>
    <x v="0"/>
    <s v="C063"/>
    <x v="76"/>
    <s v="P006"/>
    <s v="Chair 6"/>
    <x v="6"/>
    <x v="0"/>
    <n v="14"/>
    <n v="26.8"/>
    <n v="291.69"/>
    <n v="375.2"/>
    <n v="83.509999999999991"/>
    <x v="0"/>
  </r>
  <r>
    <x v="232"/>
    <x v="0"/>
    <s v="C041"/>
    <x v="196"/>
    <s v="P014"/>
    <s v="Backpack 14"/>
    <x v="6"/>
    <x v="2"/>
    <n v="5"/>
    <n v="107.92"/>
    <n v="364.7"/>
    <n v="539.6"/>
    <n v="174.90000000000003"/>
    <x v="0"/>
  </r>
  <r>
    <x v="44"/>
    <x v="0"/>
    <s v="C033"/>
    <x v="137"/>
    <s v="P037"/>
    <s v="Charger 37"/>
    <x v="0"/>
    <x v="2"/>
    <n v="18"/>
    <n v="478.01"/>
    <n v="5144.46"/>
    <n v="8604.18"/>
    <n v="3459.7200000000003"/>
    <x v="2"/>
  </r>
  <r>
    <x v="108"/>
    <x v="0"/>
    <s v="C100"/>
    <x v="152"/>
    <s v="P005"/>
    <s v="USB Drive 5"/>
    <x v="0"/>
    <x v="0"/>
    <n v="16"/>
    <n v="328.88"/>
    <n v="3220.64"/>
    <n v="5262.08"/>
    <n v="2041.44"/>
    <x v="2"/>
  </r>
  <r>
    <x v="233"/>
    <x v="0"/>
    <s v="C038"/>
    <x v="100"/>
    <s v="P007"/>
    <s v="Pen Set 7"/>
    <x v="0"/>
    <x v="3"/>
    <n v="14"/>
    <n v="438.42"/>
    <n v="3866.28"/>
    <n v="6137.88"/>
    <n v="2271.6"/>
    <x v="2"/>
  </r>
  <r>
    <x v="67"/>
    <x v="0"/>
    <s v="C038"/>
    <x v="160"/>
    <s v="P012"/>
    <s v="Chair 12"/>
    <x v="0"/>
    <x v="0"/>
    <n v="14"/>
    <n v="461"/>
    <n v="4282.99"/>
    <n v="6454"/>
    <n v="2171.0100000000002"/>
    <x v="2"/>
  </r>
  <r>
    <x v="234"/>
    <x v="0"/>
    <s v="C004"/>
    <x v="197"/>
    <s v="P042"/>
    <s v="Backpack 42"/>
    <x v="0"/>
    <x v="2"/>
    <n v="17"/>
    <n v="481.04"/>
    <n v="5518.53"/>
    <n v="8177.68"/>
    <n v="2659.1500000000005"/>
    <x v="2"/>
  </r>
  <r>
    <x v="235"/>
    <x v="0"/>
    <s v="C033"/>
    <x v="104"/>
    <s v="P042"/>
    <s v="Backpack 42"/>
    <x v="0"/>
    <x v="3"/>
    <n v="18"/>
    <n v="361.23"/>
    <n v="4393.2"/>
    <n v="6502.14"/>
    <n v="2108.9400000000005"/>
    <x v="2"/>
  </r>
  <r>
    <x v="84"/>
    <x v="0"/>
    <s v="C011"/>
    <x v="12"/>
    <s v="P012"/>
    <s v="Chair 12"/>
    <x v="0"/>
    <x v="2"/>
    <n v="20"/>
    <n v="277.73"/>
    <n v="3222.86"/>
    <n v="5554.6"/>
    <n v="2331.7400000000002"/>
    <x v="2"/>
  </r>
  <r>
    <x v="236"/>
    <x v="0"/>
    <s v="C087"/>
    <x v="42"/>
    <s v="P042"/>
    <s v="Backpack 42"/>
    <x v="0"/>
    <x v="3"/>
    <n v="11"/>
    <n v="486.56"/>
    <n v="3415.88"/>
    <n v="5352.16"/>
    <n v="1936.2799999999997"/>
    <x v="2"/>
  </r>
  <r>
    <x v="237"/>
    <x v="0"/>
    <s v="C076"/>
    <x v="107"/>
    <s v="P030"/>
    <s v="Desk Lamp 30"/>
    <x v="0"/>
    <x v="3"/>
    <n v="20"/>
    <n v="286.11"/>
    <n v="3596.9"/>
    <n v="5722.2000000000007"/>
    <n v="2125.3000000000006"/>
    <x v="2"/>
  </r>
  <r>
    <x v="238"/>
    <x v="0"/>
    <s v="C050"/>
    <x v="198"/>
    <s v="P030"/>
    <s v="Desk Lamp 30"/>
    <x v="0"/>
    <x v="3"/>
    <n v="18"/>
    <n v="382.03"/>
    <n v="4363.03"/>
    <n v="6876.5399999999991"/>
    <n v="2513.5099999999993"/>
    <x v="2"/>
  </r>
  <r>
    <x v="172"/>
    <x v="0"/>
    <s v="C028"/>
    <x v="199"/>
    <s v="P012"/>
    <s v="Chair 12"/>
    <x v="0"/>
    <x v="2"/>
    <n v="17"/>
    <n v="359"/>
    <n v="3402.63"/>
    <n v="6103"/>
    <n v="2700.37"/>
    <x v="2"/>
  </r>
  <r>
    <x v="238"/>
    <x v="0"/>
    <s v="C026"/>
    <x v="95"/>
    <s v="P038"/>
    <s v="Charger 38"/>
    <x v="0"/>
    <x v="0"/>
    <n v="20"/>
    <n v="264.44"/>
    <n v="3788.33"/>
    <n v="5288.8"/>
    <n v="1500.4700000000003"/>
    <x v="2"/>
  </r>
  <r>
    <x v="239"/>
    <x v="0"/>
    <s v="C064"/>
    <x v="3"/>
    <s v="P007"/>
    <s v="Pen Set 7"/>
    <x v="0"/>
    <x v="0"/>
    <n v="20"/>
    <n v="461.39"/>
    <n v="6447.22"/>
    <n v="9227.7999999999993"/>
    <n v="2780.579999999999"/>
    <x v="2"/>
  </r>
  <r>
    <x v="205"/>
    <x v="0"/>
    <s v="C079"/>
    <x v="10"/>
    <s v="P038"/>
    <s v="Charger 38"/>
    <x v="0"/>
    <x v="2"/>
    <n v="20"/>
    <n v="476.7"/>
    <n v="6104.14"/>
    <n v="9534"/>
    <n v="3429.8599999999997"/>
    <x v="2"/>
  </r>
  <r>
    <x v="101"/>
    <x v="0"/>
    <s v="C070"/>
    <x v="71"/>
    <s v="P037"/>
    <s v="Charger 37"/>
    <x v="0"/>
    <x v="3"/>
    <n v="16"/>
    <n v="435.02"/>
    <n v="4877.8999999999996"/>
    <n v="6960.32"/>
    <n v="2082.42"/>
    <x v="2"/>
  </r>
  <r>
    <x v="213"/>
    <x v="0"/>
    <s v="C029"/>
    <x v="18"/>
    <s v="P037"/>
    <s v="Charger 37"/>
    <x v="0"/>
    <x v="0"/>
    <n v="17"/>
    <n v="424.2"/>
    <n v="4515"/>
    <n v="7211.4"/>
    <n v="2696.3999999999996"/>
    <x v="2"/>
  </r>
  <r>
    <x v="146"/>
    <x v="0"/>
    <s v="C041"/>
    <x v="40"/>
    <s v="P037"/>
    <s v="Charger 37"/>
    <x v="0"/>
    <x v="2"/>
    <n v="18"/>
    <n v="453.87"/>
    <n v="4522.51"/>
    <n v="8169.66"/>
    <n v="3647.1499999999996"/>
    <x v="2"/>
  </r>
  <r>
    <x v="234"/>
    <x v="0"/>
    <s v="C099"/>
    <x v="196"/>
    <s v="P007"/>
    <s v="Pen Set 7"/>
    <x v="0"/>
    <x v="0"/>
    <n v="15"/>
    <n v="334.8"/>
    <n v="3221.49"/>
    <n v="5022"/>
    <n v="1800.5100000000002"/>
    <x v="2"/>
  </r>
  <r>
    <x v="166"/>
    <x v="0"/>
    <s v="C087"/>
    <x v="4"/>
    <s v="P048"/>
    <s v="Desk Lamp 48"/>
    <x v="1"/>
    <x v="1"/>
    <n v="15"/>
    <n v="474.38"/>
    <n v="5478.96"/>
    <n v="7115.7"/>
    <n v="1636.7399999999998"/>
    <x v="2"/>
  </r>
  <r>
    <x v="204"/>
    <x v="0"/>
    <s v="C006"/>
    <x v="74"/>
    <s v="P024"/>
    <s v="USB Drive 24"/>
    <x v="1"/>
    <x v="3"/>
    <n v="15"/>
    <n v="350.77"/>
    <n v="3038.92"/>
    <n v="5261.5499999999993"/>
    <n v="2222.6299999999992"/>
    <x v="2"/>
  </r>
  <r>
    <x v="23"/>
    <x v="0"/>
    <s v="C068"/>
    <x v="44"/>
    <s v="P050"/>
    <s v="Backpack 50"/>
    <x v="1"/>
    <x v="0"/>
    <n v="19"/>
    <n v="271.2"/>
    <n v="3785.15"/>
    <n v="5152.8"/>
    <n v="1367.65"/>
    <x v="2"/>
  </r>
  <r>
    <x v="215"/>
    <x v="0"/>
    <s v="C016"/>
    <x v="200"/>
    <s v="P024"/>
    <s v="USB Drive 24"/>
    <x v="1"/>
    <x v="0"/>
    <n v="19"/>
    <n v="332.94"/>
    <n v="4662.28"/>
    <n v="6325.86"/>
    <n v="1663.58"/>
    <x v="2"/>
  </r>
  <r>
    <x v="66"/>
    <x v="0"/>
    <s v="C032"/>
    <x v="80"/>
    <s v="P048"/>
    <s v="Desk Lamp 48"/>
    <x v="1"/>
    <x v="0"/>
    <n v="14"/>
    <n v="463.66"/>
    <n v="4907.8"/>
    <n v="6491.2400000000007"/>
    <n v="1583.4400000000005"/>
    <x v="2"/>
  </r>
  <r>
    <x v="44"/>
    <x v="0"/>
    <s v="C039"/>
    <x v="57"/>
    <s v="P021"/>
    <s v="Notebook 21"/>
    <x v="1"/>
    <x v="2"/>
    <n v="19"/>
    <n v="399.51"/>
    <n v="5336.15"/>
    <n v="7590.69"/>
    <n v="2254.54"/>
    <x v="2"/>
  </r>
  <r>
    <x v="240"/>
    <x v="0"/>
    <s v="C038"/>
    <x v="33"/>
    <s v="P024"/>
    <s v="USB Drive 24"/>
    <x v="1"/>
    <x v="2"/>
    <n v="15"/>
    <n v="362.23"/>
    <n v="4589.1499999999996"/>
    <n v="5433.4500000000007"/>
    <n v="844.30000000000109"/>
    <x v="2"/>
  </r>
  <r>
    <x v="241"/>
    <x v="0"/>
    <s v="C056"/>
    <x v="188"/>
    <s v="P041"/>
    <s v="Desk Lamp 41"/>
    <x v="1"/>
    <x v="1"/>
    <n v="14"/>
    <n v="483.95"/>
    <n v="4346.37"/>
    <n v="6775.3"/>
    <n v="2428.9300000000003"/>
    <x v="2"/>
  </r>
  <r>
    <x v="237"/>
    <x v="0"/>
    <s v="C060"/>
    <x v="123"/>
    <s v="P050"/>
    <s v="Backpack 50"/>
    <x v="1"/>
    <x v="2"/>
    <n v="12"/>
    <n v="495.92"/>
    <n v="4206.84"/>
    <n v="5951.04"/>
    <n v="1744.1999999999998"/>
    <x v="2"/>
  </r>
  <r>
    <x v="173"/>
    <x v="0"/>
    <s v="C046"/>
    <x v="180"/>
    <s v="P024"/>
    <s v="USB Drive 24"/>
    <x v="1"/>
    <x v="2"/>
    <n v="20"/>
    <n v="453.52"/>
    <n v="6508.34"/>
    <n v="9070.4"/>
    <n v="2562.0599999999995"/>
    <x v="2"/>
  </r>
  <r>
    <x v="242"/>
    <x v="0"/>
    <s v="C099"/>
    <x v="1"/>
    <s v="P032"/>
    <s v="USB Drive 32"/>
    <x v="1"/>
    <x v="3"/>
    <n v="20"/>
    <n v="334.19"/>
    <n v="3852.72"/>
    <n v="6683.8"/>
    <n v="2831.0800000000004"/>
    <x v="2"/>
  </r>
  <r>
    <x v="157"/>
    <x v="0"/>
    <s v="C041"/>
    <x v="67"/>
    <s v="P021"/>
    <s v="Notebook 21"/>
    <x v="1"/>
    <x v="0"/>
    <n v="20"/>
    <n v="302.88"/>
    <n v="4212.5200000000004"/>
    <n v="6057.6"/>
    <n v="1845.08"/>
    <x v="2"/>
  </r>
  <r>
    <x v="173"/>
    <x v="0"/>
    <s v="C022"/>
    <x v="171"/>
    <s v="P024"/>
    <s v="USB Drive 24"/>
    <x v="1"/>
    <x v="1"/>
    <n v="14"/>
    <n v="472.01"/>
    <n v="4733.74"/>
    <n v="6608.1399999999994"/>
    <n v="1874.3999999999996"/>
    <x v="2"/>
  </r>
  <r>
    <x v="201"/>
    <x v="0"/>
    <s v="C098"/>
    <x v="20"/>
    <s v="P048"/>
    <s v="Desk Lamp 48"/>
    <x v="1"/>
    <x v="0"/>
    <n v="17"/>
    <n v="497.75"/>
    <n v="6090.12"/>
    <n v="8461.75"/>
    <n v="2371.63"/>
    <x v="2"/>
  </r>
  <r>
    <x v="230"/>
    <x v="0"/>
    <s v="C049"/>
    <x v="37"/>
    <s v="P041"/>
    <s v="Desk Lamp 41"/>
    <x v="1"/>
    <x v="2"/>
    <n v="19"/>
    <n v="304.41000000000003"/>
    <n v="3243.05"/>
    <n v="5783.7900000000009"/>
    <n v="2540.7400000000007"/>
    <x v="2"/>
  </r>
  <r>
    <x v="21"/>
    <x v="0"/>
    <s v="C034"/>
    <x v="148"/>
    <s v="P032"/>
    <s v="USB Drive 32"/>
    <x v="1"/>
    <x v="1"/>
    <n v="20"/>
    <n v="261.88"/>
    <n v="3292.08"/>
    <n v="5237.6000000000004"/>
    <n v="1945.5200000000004"/>
    <x v="2"/>
  </r>
  <r>
    <x v="34"/>
    <x v="0"/>
    <s v="C055"/>
    <x v="138"/>
    <s v="P041"/>
    <s v="Desk Lamp 41"/>
    <x v="1"/>
    <x v="0"/>
    <n v="13"/>
    <n v="397.78"/>
    <n v="3531.68"/>
    <n v="5171.1399999999994"/>
    <n v="1639.4599999999996"/>
    <x v="2"/>
  </r>
  <r>
    <x v="117"/>
    <x v="0"/>
    <s v="C055"/>
    <x v="201"/>
    <s v="P048"/>
    <s v="Desk Lamp 48"/>
    <x v="1"/>
    <x v="3"/>
    <n v="16"/>
    <n v="366.1"/>
    <n v="3576.89"/>
    <n v="5857.6"/>
    <n v="2280.7100000000005"/>
    <x v="2"/>
  </r>
  <r>
    <x v="243"/>
    <x v="0"/>
    <s v="C032"/>
    <x v="94"/>
    <s v="P043"/>
    <s v="USB Drive 43"/>
    <x v="1"/>
    <x v="0"/>
    <n v="15"/>
    <n v="418.09"/>
    <n v="3341.77"/>
    <n v="6271.3499999999995"/>
    <n v="2929.5799999999995"/>
    <x v="2"/>
  </r>
  <r>
    <x v="244"/>
    <x v="0"/>
    <s v="C036"/>
    <x v="9"/>
    <s v="P043"/>
    <s v="USB Drive 43"/>
    <x v="1"/>
    <x v="1"/>
    <n v="18"/>
    <n v="425.48"/>
    <n v="5131.3900000000003"/>
    <n v="7658.64"/>
    <n v="2527.25"/>
    <x v="2"/>
  </r>
  <r>
    <x v="77"/>
    <x v="0"/>
    <s v="C082"/>
    <x v="67"/>
    <s v="P025"/>
    <s v="Pen Set 25"/>
    <x v="2"/>
    <x v="1"/>
    <n v="12"/>
    <n v="442.08"/>
    <n v="4086.43"/>
    <n v="5304.96"/>
    <n v="1218.5300000000002"/>
    <x v="2"/>
  </r>
  <r>
    <x v="7"/>
    <x v="0"/>
    <s v="C016"/>
    <x v="168"/>
    <s v="P026"/>
    <s v="Charger 26"/>
    <x v="2"/>
    <x v="2"/>
    <n v="12"/>
    <n v="438.89"/>
    <n v="3718.14"/>
    <n v="5266.68"/>
    <n v="1548.5400000000004"/>
    <x v="2"/>
  </r>
  <r>
    <x v="245"/>
    <x v="0"/>
    <s v="C018"/>
    <x v="187"/>
    <s v="P003"/>
    <s v="Pen Set 3"/>
    <x v="2"/>
    <x v="0"/>
    <n v="18"/>
    <n v="432.04"/>
    <n v="4250.0200000000004"/>
    <n v="7776.72"/>
    <n v="3526.7"/>
    <x v="2"/>
  </r>
  <r>
    <x v="22"/>
    <x v="0"/>
    <s v="C096"/>
    <x v="54"/>
    <s v="P023"/>
    <s v="USB Drive 23"/>
    <x v="2"/>
    <x v="0"/>
    <n v="17"/>
    <n v="326.02999999999997"/>
    <n v="4031.23"/>
    <n v="5542.5099999999993"/>
    <n v="1511.2799999999993"/>
    <x v="2"/>
  </r>
  <r>
    <x v="236"/>
    <x v="0"/>
    <s v="C056"/>
    <x v="153"/>
    <s v="P026"/>
    <s v="Charger 26"/>
    <x v="2"/>
    <x v="1"/>
    <n v="13"/>
    <n v="457.43"/>
    <n v="4314.84"/>
    <n v="5946.59"/>
    <n v="1631.75"/>
    <x v="2"/>
  </r>
  <r>
    <x v="90"/>
    <x v="0"/>
    <s v="C093"/>
    <x v="25"/>
    <s v="P023"/>
    <s v="USB Drive 23"/>
    <x v="2"/>
    <x v="0"/>
    <n v="18"/>
    <n v="489.6"/>
    <n v="6403.04"/>
    <n v="8812.8000000000011"/>
    <n v="2409.7600000000011"/>
    <x v="2"/>
  </r>
  <r>
    <x v="246"/>
    <x v="0"/>
    <s v="C093"/>
    <x v="202"/>
    <s v="P026"/>
    <s v="Charger 26"/>
    <x v="2"/>
    <x v="0"/>
    <n v="15"/>
    <n v="391.6"/>
    <n v="4234.84"/>
    <n v="5874"/>
    <n v="1639.1599999999999"/>
    <x v="2"/>
  </r>
  <r>
    <x v="201"/>
    <x v="0"/>
    <s v="C007"/>
    <x v="67"/>
    <s v="P003"/>
    <s v="Pen Set 3"/>
    <x v="2"/>
    <x v="1"/>
    <n v="18"/>
    <n v="380.07"/>
    <n v="4777.1000000000004"/>
    <n v="6841.26"/>
    <n v="2064.16"/>
    <x v="2"/>
  </r>
  <r>
    <x v="222"/>
    <x v="0"/>
    <s v="C006"/>
    <x v="71"/>
    <s v="P025"/>
    <s v="Pen Set 25"/>
    <x v="2"/>
    <x v="0"/>
    <n v="18"/>
    <n v="392.96"/>
    <n v="4833.18"/>
    <n v="7073.28"/>
    <n v="2240.0999999999995"/>
    <x v="2"/>
  </r>
  <r>
    <x v="206"/>
    <x v="0"/>
    <s v="C020"/>
    <x v="144"/>
    <s v="P023"/>
    <s v="USB Drive 23"/>
    <x v="2"/>
    <x v="1"/>
    <n v="18"/>
    <n v="386.69"/>
    <n v="4524.3500000000004"/>
    <n v="6960.42"/>
    <n v="2436.0699999999997"/>
    <x v="2"/>
  </r>
  <r>
    <x v="247"/>
    <x v="0"/>
    <s v="C027"/>
    <x v="182"/>
    <s v="P003"/>
    <s v="Pen Set 3"/>
    <x v="2"/>
    <x v="3"/>
    <n v="14"/>
    <n v="393.95"/>
    <n v="3223.9"/>
    <n v="5515.3"/>
    <n v="2291.4"/>
    <x v="2"/>
  </r>
  <r>
    <x v="90"/>
    <x v="0"/>
    <s v="C012"/>
    <x v="120"/>
    <s v="P016"/>
    <s v="Backpack 16"/>
    <x v="3"/>
    <x v="0"/>
    <n v="14"/>
    <n v="498.2"/>
    <n v="4789.07"/>
    <n v="6974.8"/>
    <n v="2185.7300000000005"/>
    <x v="2"/>
  </r>
  <r>
    <x v="24"/>
    <x v="0"/>
    <s v="C067"/>
    <x v="143"/>
    <s v="P016"/>
    <s v="Backpack 16"/>
    <x v="3"/>
    <x v="1"/>
    <n v="18"/>
    <n v="441.59"/>
    <n v="5579.1"/>
    <n v="7948.62"/>
    <n v="2369.5199999999995"/>
    <x v="2"/>
  </r>
  <r>
    <x v="127"/>
    <x v="0"/>
    <s v="C028"/>
    <x v="1"/>
    <s v="P029"/>
    <s v="Notebook 29"/>
    <x v="3"/>
    <x v="0"/>
    <n v="17"/>
    <n v="376.22"/>
    <n v="3729.92"/>
    <n v="6395.7400000000007"/>
    <n v="2665.8200000000006"/>
    <x v="2"/>
  </r>
  <r>
    <x v="23"/>
    <x v="0"/>
    <s v="C035"/>
    <x v="201"/>
    <s v="P016"/>
    <s v="Backpack 16"/>
    <x v="3"/>
    <x v="0"/>
    <n v="16"/>
    <n v="466.31"/>
    <n v="4242.78"/>
    <n v="7460.96"/>
    <n v="3218.1800000000003"/>
    <x v="2"/>
  </r>
  <r>
    <x v="248"/>
    <x v="0"/>
    <s v="C039"/>
    <x v="143"/>
    <s v="P029"/>
    <s v="Notebook 29"/>
    <x v="3"/>
    <x v="2"/>
    <n v="20"/>
    <n v="320.75"/>
    <n v="4451.79"/>
    <n v="6415"/>
    <n v="1963.21"/>
    <x v="2"/>
  </r>
  <r>
    <x v="213"/>
    <x v="0"/>
    <s v="C076"/>
    <x v="135"/>
    <s v="P011"/>
    <s v="Desk Lamp 11"/>
    <x v="3"/>
    <x v="3"/>
    <n v="19"/>
    <n v="307.5"/>
    <n v="4815.2700000000004"/>
    <n v="5842.5"/>
    <n v="1027.2299999999996"/>
    <x v="2"/>
  </r>
  <r>
    <x v="214"/>
    <x v="0"/>
    <s v="C083"/>
    <x v="100"/>
    <s v="P039"/>
    <s v="Notebook 39"/>
    <x v="4"/>
    <x v="2"/>
    <n v="19"/>
    <n v="483"/>
    <n v="5850.31"/>
    <n v="9177"/>
    <n v="3326.6899999999996"/>
    <x v="2"/>
  </r>
  <r>
    <x v="249"/>
    <x v="0"/>
    <s v="C068"/>
    <x v="46"/>
    <s v="P039"/>
    <s v="Notebook 39"/>
    <x v="4"/>
    <x v="2"/>
    <n v="16"/>
    <n v="330.33"/>
    <n v="3555.02"/>
    <n v="5285.28"/>
    <n v="1730.2599999999998"/>
    <x v="2"/>
  </r>
  <r>
    <x v="250"/>
    <x v="0"/>
    <s v="C052"/>
    <x v="21"/>
    <s v="P045"/>
    <s v="Chair 45"/>
    <x v="4"/>
    <x v="1"/>
    <n v="17"/>
    <n v="440.76"/>
    <n v="5061.97"/>
    <n v="7492.92"/>
    <n v="2430.9499999999998"/>
    <x v="2"/>
  </r>
  <r>
    <x v="108"/>
    <x v="0"/>
    <s v="C090"/>
    <x v="121"/>
    <s v="P019"/>
    <s v="Backpack 19"/>
    <x v="4"/>
    <x v="0"/>
    <n v="20"/>
    <n v="360.44"/>
    <n v="4828.17"/>
    <n v="7208.8"/>
    <n v="2380.63"/>
    <x v="2"/>
  </r>
  <r>
    <x v="251"/>
    <x v="0"/>
    <s v="C042"/>
    <x v="64"/>
    <s v="P027"/>
    <s v="Charger 27"/>
    <x v="4"/>
    <x v="2"/>
    <n v="20"/>
    <n v="325.52"/>
    <n v="4014.71"/>
    <n v="6510.4"/>
    <n v="2495.6899999999996"/>
    <x v="2"/>
  </r>
  <r>
    <x v="252"/>
    <x v="0"/>
    <s v="C041"/>
    <x v="38"/>
    <s v="P019"/>
    <s v="Backpack 19"/>
    <x v="4"/>
    <x v="1"/>
    <n v="15"/>
    <n v="359.56"/>
    <n v="3727.76"/>
    <n v="5393.4"/>
    <n v="1665.6399999999994"/>
    <x v="2"/>
  </r>
  <r>
    <x v="136"/>
    <x v="0"/>
    <s v="C035"/>
    <x v="203"/>
    <s v="P008"/>
    <s v="Backpack 8"/>
    <x v="4"/>
    <x v="1"/>
    <n v="11"/>
    <n v="489.24"/>
    <n v="3208.94"/>
    <n v="5381.64"/>
    <n v="2172.7000000000003"/>
    <x v="2"/>
  </r>
  <r>
    <x v="123"/>
    <x v="0"/>
    <s v="C020"/>
    <x v="108"/>
    <s v="P008"/>
    <s v="Backpack 8"/>
    <x v="4"/>
    <x v="2"/>
    <n v="20"/>
    <n v="325.04000000000002"/>
    <n v="3717.21"/>
    <n v="6500.8"/>
    <n v="2783.59"/>
    <x v="2"/>
  </r>
  <r>
    <x v="53"/>
    <x v="0"/>
    <s v="C059"/>
    <x v="27"/>
    <s v="P019"/>
    <s v="Backpack 19"/>
    <x v="4"/>
    <x v="0"/>
    <n v="19"/>
    <n v="278.99"/>
    <n v="3712.3"/>
    <n v="5300.81"/>
    <n v="1588.5100000000002"/>
    <x v="2"/>
  </r>
  <r>
    <x v="120"/>
    <x v="0"/>
    <s v="C004"/>
    <x v="56"/>
    <s v="P019"/>
    <s v="Backpack 19"/>
    <x v="4"/>
    <x v="2"/>
    <n v="18"/>
    <n v="309.36"/>
    <n v="4132.3500000000004"/>
    <n v="5568.4800000000005"/>
    <n v="1436.13"/>
    <x v="2"/>
  </r>
  <r>
    <x v="253"/>
    <x v="0"/>
    <s v="C070"/>
    <x v="57"/>
    <s v="P034"/>
    <s v="USB Drive 34"/>
    <x v="4"/>
    <x v="0"/>
    <n v="17"/>
    <n v="491.61"/>
    <n v="5547.84"/>
    <n v="8357.3700000000008"/>
    <n v="2809.5300000000007"/>
    <x v="2"/>
  </r>
  <r>
    <x v="254"/>
    <x v="0"/>
    <s v="C085"/>
    <x v="204"/>
    <s v="P019"/>
    <s v="Backpack 19"/>
    <x v="4"/>
    <x v="1"/>
    <n v="19"/>
    <n v="429.73"/>
    <n v="5873.13"/>
    <n v="8164.8700000000008"/>
    <n v="2291.7400000000007"/>
    <x v="2"/>
  </r>
  <r>
    <x v="56"/>
    <x v="0"/>
    <s v="C010"/>
    <x v="100"/>
    <s v="P027"/>
    <s v="Charger 27"/>
    <x v="4"/>
    <x v="3"/>
    <n v="15"/>
    <n v="427.35"/>
    <n v="4244.6499999999996"/>
    <n v="6410.25"/>
    <n v="2165.6000000000004"/>
    <x v="2"/>
  </r>
  <r>
    <x v="255"/>
    <x v="0"/>
    <s v="C030"/>
    <x v="15"/>
    <s v="P027"/>
    <s v="Charger 27"/>
    <x v="4"/>
    <x v="2"/>
    <n v="20"/>
    <n v="255.26"/>
    <n v="3099.87"/>
    <n v="5105.2"/>
    <n v="2005.33"/>
    <x v="2"/>
  </r>
  <r>
    <x v="256"/>
    <x v="0"/>
    <s v="C057"/>
    <x v="106"/>
    <s v="P027"/>
    <s v="Charger 27"/>
    <x v="4"/>
    <x v="1"/>
    <n v="18"/>
    <n v="370.66"/>
    <n v="4797.7299999999996"/>
    <n v="6671.88"/>
    <n v="1874.1500000000005"/>
    <x v="2"/>
  </r>
  <r>
    <x v="113"/>
    <x v="0"/>
    <s v="C087"/>
    <x v="129"/>
    <s v="P008"/>
    <s v="Backpack 8"/>
    <x v="4"/>
    <x v="2"/>
    <n v="18"/>
    <n v="438.68"/>
    <n v="5201"/>
    <n v="7896.24"/>
    <n v="2695.24"/>
    <x v="2"/>
  </r>
  <r>
    <x v="72"/>
    <x v="0"/>
    <s v="C027"/>
    <x v="140"/>
    <s v="P013"/>
    <s v="USB Drive 13"/>
    <x v="4"/>
    <x v="2"/>
    <n v="17"/>
    <n v="457.85"/>
    <n v="5670.66"/>
    <n v="7783.4500000000007"/>
    <n v="2112.7900000000009"/>
    <x v="2"/>
  </r>
  <r>
    <x v="182"/>
    <x v="0"/>
    <s v="C077"/>
    <x v="200"/>
    <s v="P034"/>
    <s v="USB Drive 34"/>
    <x v="4"/>
    <x v="0"/>
    <n v="14"/>
    <n v="468.71"/>
    <n v="4203.43"/>
    <n v="6561.94"/>
    <n v="2358.5099999999993"/>
    <x v="2"/>
  </r>
  <r>
    <x v="124"/>
    <x v="0"/>
    <s v="C094"/>
    <x v="185"/>
    <s v="P044"/>
    <s v="Desk Lamp 44"/>
    <x v="4"/>
    <x v="3"/>
    <n v="14"/>
    <n v="397.58"/>
    <n v="4332.5600000000004"/>
    <n v="5566.12"/>
    <n v="1233.5599999999995"/>
    <x v="2"/>
  </r>
  <r>
    <x v="166"/>
    <x v="0"/>
    <s v="C092"/>
    <x v="190"/>
    <s v="P044"/>
    <s v="Desk Lamp 44"/>
    <x v="4"/>
    <x v="2"/>
    <n v="17"/>
    <n v="344.9"/>
    <n v="3533.35"/>
    <n v="5863.2999999999993"/>
    <n v="2329.9499999999994"/>
    <x v="2"/>
  </r>
  <r>
    <x v="144"/>
    <x v="0"/>
    <s v="C038"/>
    <x v="183"/>
    <s v="P027"/>
    <s v="Charger 27"/>
    <x v="4"/>
    <x v="0"/>
    <n v="20"/>
    <n v="375.08"/>
    <n v="4722.93"/>
    <n v="7501.5999999999995"/>
    <n v="2778.6699999999992"/>
    <x v="2"/>
  </r>
  <r>
    <x v="27"/>
    <x v="0"/>
    <s v="C071"/>
    <x v="95"/>
    <s v="P034"/>
    <s v="USB Drive 34"/>
    <x v="4"/>
    <x v="0"/>
    <n v="15"/>
    <n v="448.07"/>
    <n v="5303.89"/>
    <n v="6721.05"/>
    <n v="1417.1599999999999"/>
    <x v="2"/>
  </r>
  <r>
    <x v="143"/>
    <x v="0"/>
    <s v="C021"/>
    <x v="136"/>
    <s v="P004"/>
    <s v="Charger 4"/>
    <x v="5"/>
    <x v="3"/>
    <n v="17"/>
    <n v="311.86"/>
    <n v="3119.49"/>
    <n v="5301.62"/>
    <n v="2182.13"/>
    <x v="2"/>
  </r>
  <r>
    <x v="257"/>
    <x v="0"/>
    <s v="C092"/>
    <x v="82"/>
    <s v="P018"/>
    <s v="USB Drive 18"/>
    <x v="5"/>
    <x v="3"/>
    <n v="17"/>
    <n v="448.85"/>
    <n v="4859.8"/>
    <n v="7630.4500000000007"/>
    <n v="2770.6500000000005"/>
    <x v="2"/>
  </r>
  <r>
    <x v="149"/>
    <x v="0"/>
    <s v="C010"/>
    <x v="185"/>
    <s v="P036"/>
    <s v="Chair 36"/>
    <x v="5"/>
    <x v="1"/>
    <n v="11"/>
    <n v="466.27"/>
    <n v="4135.12"/>
    <n v="5128.9699999999993"/>
    <n v="993.84999999999945"/>
    <x v="2"/>
  </r>
  <r>
    <x v="21"/>
    <x v="0"/>
    <s v="C100"/>
    <x v="204"/>
    <s v="P036"/>
    <s v="Chair 36"/>
    <x v="5"/>
    <x v="0"/>
    <n v="19"/>
    <n v="303.26"/>
    <n v="4345.66"/>
    <n v="5761.94"/>
    <n v="1416.2799999999997"/>
    <x v="2"/>
  </r>
  <r>
    <x v="36"/>
    <x v="0"/>
    <s v="C097"/>
    <x v="25"/>
    <s v="P036"/>
    <s v="Chair 36"/>
    <x v="5"/>
    <x v="0"/>
    <n v="19"/>
    <n v="399.66"/>
    <n v="4928.01"/>
    <n v="7593.5400000000009"/>
    <n v="2665.5300000000007"/>
    <x v="2"/>
  </r>
  <r>
    <x v="154"/>
    <x v="0"/>
    <s v="C070"/>
    <x v="191"/>
    <s v="P022"/>
    <s v="USB Drive 22"/>
    <x v="5"/>
    <x v="0"/>
    <n v="17"/>
    <n v="426.36"/>
    <n v="4312.93"/>
    <n v="7248.12"/>
    <n v="2935.1899999999996"/>
    <x v="2"/>
  </r>
  <r>
    <x v="88"/>
    <x v="0"/>
    <s v="C091"/>
    <x v="198"/>
    <s v="P022"/>
    <s v="USB Drive 22"/>
    <x v="5"/>
    <x v="0"/>
    <n v="14"/>
    <n v="388.92"/>
    <n v="3238.34"/>
    <n v="5444.88"/>
    <n v="2206.54"/>
    <x v="2"/>
  </r>
  <r>
    <x v="96"/>
    <x v="0"/>
    <s v="C036"/>
    <x v="205"/>
    <s v="P017"/>
    <s v="Pen Set 17"/>
    <x v="6"/>
    <x v="2"/>
    <n v="13"/>
    <n v="493.23"/>
    <n v="4677.54"/>
    <n v="6411.99"/>
    <n v="1734.4499999999998"/>
    <x v="2"/>
  </r>
  <r>
    <x v="223"/>
    <x v="0"/>
    <s v="C046"/>
    <x v="111"/>
    <s v="P006"/>
    <s v="Chair 6"/>
    <x v="6"/>
    <x v="2"/>
    <n v="19"/>
    <n v="402.77"/>
    <n v="4275.3100000000004"/>
    <n v="7652.6299999999992"/>
    <n v="3377.3199999999988"/>
    <x v="2"/>
  </r>
  <r>
    <x v="258"/>
    <x v="0"/>
    <s v="C035"/>
    <x v="99"/>
    <s v="P040"/>
    <s v="Backpack 40"/>
    <x v="6"/>
    <x v="3"/>
    <n v="18"/>
    <n v="301.37"/>
    <n v="3013.05"/>
    <n v="5424.66"/>
    <n v="2411.6099999999997"/>
    <x v="2"/>
  </r>
  <r>
    <x v="11"/>
    <x v="0"/>
    <s v="C040"/>
    <x v="113"/>
    <s v="P017"/>
    <s v="Pen Set 17"/>
    <x v="6"/>
    <x v="3"/>
    <n v="20"/>
    <n v="374.59"/>
    <n v="4944.5600000000004"/>
    <n v="7491.7999999999993"/>
    <n v="2547.2399999999989"/>
    <x v="2"/>
  </r>
  <r>
    <x v="112"/>
    <x v="0"/>
    <s v="C047"/>
    <x v="184"/>
    <s v="P002"/>
    <s v="Desk Lamp 2"/>
    <x v="6"/>
    <x v="2"/>
    <n v="17"/>
    <n v="426.11"/>
    <n v="4745.8500000000004"/>
    <n v="7243.87"/>
    <n v="2498.0199999999995"/>
    <x v="2"/>
  </r>
  <r>
    <x v="72"/>
    <x v="0"/>
    <s v="C038"/>
    <x v="87"/>
    <s v="P020"/>
    <s v="Desk Lamp 20"/>
    <x v="6"/>
    <x v="1"/>
    <n v="20"/>
    <n v="454.62"/>
    <n v="7075.47"/>
    <n v="9092.4"/>
    <n v="2016.9299999999994"/>
    <x v="2"/>
  </r>
  <r>
    <x v="47"/>
    <x v="0"/>
    <s v="C015"/>
    <x v="117"/>
    <s v="P040"/>
    <s v="Backpack 40"/>
    <x v="6"/>
    <x v="0"/>
    <n v="19"/>
    <n v="299.12"/>
    <n v="3492.09"/>
    <n v="5683.28"/>
    <n v="2191.1899999999996"/>
    <x v="2"/>
  </r>
  <r>
    <x v="39"/>
    <x v="0"/>
    <s v="C029"/>
    <x v="205"/>
    <s v="P046"/>
    <s v="Desk Lamp 46"/>
    <x v="6"/>
    <x v="3"/>
    <n v="12"/>
    <n v="418.73"/>
    <n v="3148.06"/>
    <n v="5024.76"/>
    <n v="1876.7000000000003"/>
    <x v="2"/>
  </r>
  <r>
    <x v="21"/>
    <x v="0"/>
    <s v="C006"/>
    <x v="149"/>
    <s v="P006"/>
    <s v="Chair 6"/>
    <x v="6"/>
    <x v="2"/>
    <n v="15"/>
    <n v="382.8"/>
    <n v="4407"/>
    <n v="5742"/>
    <n v="1335"/>
    <x v="2"/>
  </r>
  <r>
    <x v="228"/>
    <x v="0"/>
    <s v="C076"/>
    <x v="19"/>
    <s v="P017"/>
    <s v="Pen Set 17"/>
    <x v="6"/>
    <x v="1"/>
    <n v="15"/>
    <n v="464.76"/>
    <n v="3971.18"/>
    <n v="6971.4"/>
    <n v="3000.22"/>
    <x v="2"/>
  </r>
  <r>
    <x v="239"/>
    <x v="0"/>
    <s v="C083"/>
    <x v="201"/>
    <s v="P049"/>
    <s v="USB Drive 49"/>
    <x v="6"/>
    <x v="0"/>
    <n v="20"/>
    <n v="255.87"/>
    <n v="3067.13"/>
    <n v="5117.3999999999996"/>
    <n v="2050.2699999999995"/>
    <x v="2"/>
  </r>
  <r>
    <x v="88"/>
    <x v="0"/>
    <s v="C018"/>
    <x v="10"/>
    <s v="P040"/>
    <s v="Backpack 40"/>
    <x v="6"/>
    <x v="2"/>
    <n v="15"/>
    <n v="485.71"/>
    <n v="5115.3599999999997"/>
    <n v="7285.65"/>
    <n v="2170.29"/>
    <x v="2"/>
  </r>
  <r>
    <x v="259"/>
    <x v="0"/>
    <s v="C049"/>
    <x v="202"/>
    <s v="P014"/>
    <s v="Backpack 14"/>
    <x v="6"/>
    <x v="3"/>
    <n v="17"/>
    <n v="443.24"/>
    <n v="5410.22"/>
    <n v="7535.08"/>
    <n v="2124.85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4C4CB-6018-4995-881D-016DEE4B3549}"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3:U16" firstHeaderRow="0" firstDataRow="1" firstDataCol="1"/>
  <pivotFields count="16">
    <pivotField axis="axisRow" numFmtId="14" showAll="0">
      <items count="261">
        <item x="93"/>
        <item x="206"/>
        <item x="166"/>
        <item x="89"/>
        <item x="47"/>
        <item x="224"/>
        <item x="90"/>
        <item x="75"/>
        <item x="251"/>
        <item x="94"/>
        <item x="238"/>
        <item x="147"/>
        <item x="62"/>
        <item x="77"/>
        <item x="138"/>
        <item x="148"/>
        <item x="111"/>
        <item x="202"/>
        <item x="213"/>
        <item x="52"/>
        <item x="173"/>
        <item x="112"/>
        <item x="16"/>
        <item x="30"/>
        <item x="146"/>
        <item x="70"/>
        <item x="107"/>
        <item x="22"/>
        <item x="8"/>
        <item x="181"/>
        <item x="142"/>
        <item x="36"/>
        <item x="64"/>
        <item x="10"/>
        <item x="121"/>
        <item x="130"/>
        <item x="69"/>
        <item x="178"/>
        <item x="45"/>
        <item x="255"/>
        <item x="167"/>
        <item x="48"/>
        <item x="127"/>
        <item x="243"/>
        <item x="120"/>
        <item x="11"/>
        <item x="97"/>
        <item x="145"/>
        <item x="249"/>
        <item x="215"/>
        <item x="185"/>
        <item x="17"/>
        <item x="38"/>
        <item x="133"/>
        <item x="211"/>
        <item x="21"/>
        <item x="218"/>
        <item x="108"/>
        <item x="65"/>
        <item x="175"/>
        <item x="217"/>
        <item x="67"/>
        <item x="40"/>
        <item x="205"/>
        <item x="159"/>
        <item x="55"/>
        <item x="180"/>
        <item x="187"/>
        <item x="83"/>
        <item x="14"/>
        <item x="37"/>
        <item x="59"/>
        <item x="143"/>
        <item x="229"/>
        <item x="63"/>
        <item x="72"/>
        <item x="158"/>
        <item x="115"/>
        <item x="157"/>
        <item x="68"/>
        <item x="39"/>
        <item x="165"/>
        <item x="53"/>
        <item x="237"/>
        <item x="104"/>
        <item x="259"/>
        <item x="124"/>
        <item x="114"/>
        <item x="31"/>
        <item x="113"/>
        <item x="23"/>
        <item x="156"/>
        <item x="201"/>
        <item x="240"/>
        <item x="239"/>
        <item x="134"/>
        <item x="258"/>
        <item x="190"/>
        <item x="73"/>
        <item x="34"/>
        <item x="230"/>
        <item x="212"/>
        <item x="219"/>
        <item x="184"/>
        <item x="58"/>
        <item x="15"/>
        <item x="56"/>
        <item x="162"/>
        <item x="198"/>
        <item x="137"/>
        <item x="123"/>
        <item x="25"/>
        <item x="6"/>
        <item x="174"/>
        <item x="125"/>
        <item x="28"/>
        <item x="186"/>
        <item x="210"/>
        <item x="223"/>
        <item x="169"/>
        <item x="139"/>
        <item x="248"/>
        <item x="144"/>
        <item x="232"/>
        <item x="91"/>
        <item x="78"/>
        <item x="57"/>
        <item x="29"/>
        <item x="46"/>
        <item x="150"/>
        <item x="222"/>
        <item x="193"/>
        <item x="85"/>
        <item x="168"/>
        <item x="244"/>
        <item x="140"/>
        <item x="241"/>
        <item x="96"/>
        <item x="192"/>
        <item x="44"/>
        <item x="100"/>
        <item x="99"/>
        <item x="182"/>
        <item x="214"/>
        <item x="49"/>
        <item x="119"/>
        <item x="131"/>
        <item x="32"/>
        <item x="5"/>
        <item x="164"/>
        <item x="4"/>
        <item x="207"/>
        <item x="177"/>
        <item x="233"/>
        <item x="101"/>
        <item x="252"/>
        <item x="118"/>
        <item x="221"/>
        <item x="86"/>
        <item x="179"/>
        <item x="80"/>
        <item x="2"/>
        <item x="19"/>
        <item x="194"/>
        <item x="51"/>
        <item x="87"/>
        <item x="74"/>
        <item x="209"/>
        <item x="26"/>
        <item x="234"/>
        <item x="154"/>
        <item x="196"/>
        <item x="35"/>
        <item x="254"/>
        <item x="188"/>
        <item x="208"/>
        <item x="132"/>
        <item x="129"/>
        <item x="256"/>
        <item x="195"/>
        <item x="27"/>
        <item x="225"/>
        <item x="61"/>
        <item x="0"/>
        <item x="12"/>
        <item x="245"/>
        <item x="24"/>
        <item x="102"/>
        <item x="13"/>
        <item x="204"/>
        <item x="20"/>
        <item x="9"/>
        <item x="189"/>
        <item x="122"/>
        <item x="253"/>
        <item x="183"/>
        <item x="191"/>
        <item x="163"/>
        <item x="242"/>
        <item x="42"/>
        <item x="235"/>
        <item x="161"/>
        <item x="197"/>
        <item x="228"/>
        <item x="170"/>
        <item x="66"/>
        <item x="84"/>
        <item x="54"/>
        <item x="247"/>
        <item x="141"/>
        <item x="71"/>
        <item x="82"/>
        <item x="250"/>
        <item x="200"/>
        <item x="81"/>
        <item x="171"/>
        <item x="203"/>
        <item x="117"/>
        <item x="151"/>
        <item x="3"/>
        <item x="176"/>
        <item x="128"/>
        <item x="126"/>
        <item x="105"/>
        <item x="60"/>
        <item x="227"/>
        <item x="257"/>
        <item x="110"/>
        <item x="220"/>
        <item x="152"/>
        <item x="246"/>
        <item x="88"/>
        <item x="136"/>
        <item x="92"/>
        <item x="231"/>
        <item x="98"/>
        <item x="79"/>
        <item x="153"/>
        <item x="50"/>
        <item x="109"/>
        <item x="236"/>
        <item x="1"/>
        <item x="135"/>
        <item x="216"/>
        <item x="226"/>
        <item x="106"/>
        <item x="33"/>
        <item x="41"/>
        <item x="18"/>
        <item x="199"/>
        <item x="172"/>
        <item x="149"/>
        <item x="95"/>
        <item x="76"/>
        <item x="43"/>
        <item x="7"/>
        <item x="160"/>
        <item x="103"/>
        <item x="155"/>
        <item x="116"/>
        <item t="default"/>
      </items>
    </pivotField>
    <pivotField showAll="0">
      <items count="2">
        <item x="0"/>
        <item t="default"/>
      </items>
    </pivotField>
    <pivotField showAll="0"/>
    <pivotField showAll="0"/>
    <pivotField showAll="0"/>
    <pivotField showAll="0"/>
    <pivotField showAll="0">
      <items count="8">
        <item x="0"/>
        <item x="1"/>
        <item x="2"/>
        <item x="3"/>
        <item x="4"/>
        <item x="5"/>
        <item x="6"/>
        <item t="default"/>
      </items>
    </pivotField>
    <pivotField showAll="0">
      <items count="5">
        <item x="0"/>
        <item x="1"/>
        <item x="3"/>
        <item x="2"/>
        <item t="default"/>
      </items>
    </pivotField>
    <pivotField showAll="0"/>
    <pivotField showAll="0"/>
    <pivotField showAll="0"/>
    <pivotField dataField="1"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mount" fld="11" baseField="0" baseItem="0" numFmtId="164"/>
    <dataField name="Sum of profit" fld="12" baseField="0" baseItem="0" numFmtId="164"/>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9EEBF-47BA-4B01-AEFF-896479AFE01E}"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Q9" firstHeaderRow="1" firstDataRow="2" firstDataCol="1"/>
  <pivotFields count="16">
    <pivotField numFmtId="14" showAll="0">
      <items count="261">
        <item x="93"/>
        <item x="206"/>
        <item x="166"/>
        <item x="89"/>
        <item x="47"/>
        <item x="224"/>
        <item x="90"/>
        <item x="75"/>
        <item x="251"/>
        <item x="94"/>
        <item x="238"/>
        <item x="147"/>
        <item x="62"/>
        <item x="77"/>
        <item x="138"/>
        <item x="148"/>
        <item x="111"/>
        <item x="202"/>
        <item x="213"/>
        <item x="52"/>
        <item x="173"/>
        <item x="112"/>
        <item x="16"/>
        <item x="30"/>
        <item x="146"/>
        <item x="70"/>
        <item x="107"/>
        <item x="22"/>
        <item x="8"/>
        <item x="181"/>
        <item x="142"/>
        <item x="36"/>
        <item x="64"/>
        <item x="10"/>
        <item x="121"/>
        <item x="130"/>
        <item x="69"/>
        <item x="178"/>
        <item x="45"/>
        <item x="255"/>
        <item x="167"/>
        <item x="48"/>
        <item x="127"/>
        <item x="243"/>
        <item x="120"/>
        <item x="11"/>
        <item x="97"/>
        <item x="145"/>
        <item x="249"/>
        <item x="215"/>
        <item x="185"/>
        <item x="17"/>
        <item x="38"/>
        <item x="133"/>
        <item x="211"/>
        <item x="21"/>
        <item x="218"/>
        <item x="108"/>
        <item x="65"/>
        <item x="175"/>
        <item x="217"/>
        <item x="67"/>
        <item x="40"/>
        <item x="205"/>
        <item x="159"/>
        <item x="55"/>
        <item x="180"/>
        <item x="187"/>
        <item x="83"/>
        <item x="14"/>
        <item x="37"/>
        <item x="59"/>
        <item x="143"/>
        <item x="229"/>
        <item x="63"/>
        <item x="72"/>
        <item x="158"/>
        <item x="115"/>
        <item x="157"/>
        <item x="68"/>
        <item x="39"/>
        <item x="165"/>
        <item x="53"/>
        <item x="237"/>
        <item x="104"/>
        <item x="259"/>
        <item x="124"/>
        <item x="114"/>
        <item x="31"/>
        <item x="113"/>
        <item x="23"/>
        <item x="156"/>
        <item x="201"/>
        <item x="240"/>
        <item x="239"/>
        <item x="134"/>
        <item x="258"/>
        <item x="190"/>
        <item x="73"/>
        <item x="34"/>
        <item x="230"/>
        <item x="212"/>
        <item x="219"/>
        <item x="184"/>
        <item x="58"/>
        <item x="15"/>
        <item x="56"/>
        <item x="162"/>
        <item x="198"/>
        <item x="137"/>
        <item x="123"/>
        <item x="25"/>
        <item x="6"/>
        <item x="174"/>
        <item x="125"/>
        <item x="28"/>
        <item x="186"/>
        <item x="210"/>
        <item x="223"/>
        <item x="169"/>
        <item x="139"/>
        <item x="248"/>
        <item x="144"/>
        <item x="232"/>
        <item x="91"/>
        <item x="78"/>
        <item x="57"/>
        <item x="29"/>
        <item x="46"/>
        <item x="150"/>
        <item x="222"/>
        <item x="193"/>
        <item x="85"/>
        <item x="168"/>
        <item x="244"/>
        <item x="140"/>
        <item x="241"/>
        <item x="96"/>
        <item x="192"/>
        <item x="44"/>
        <item x="100"/>
        <item x="99"/>
        <item x="182"/>
        <item x="214"/>
        <item x="49"/>
        <item x="119"/>
        <item x="131"/>
        <item x="32"/>
        <item x="5"/>
        <item x="164"/>
        <item x="4"/>
        <item x="207"/>
        <item x="177"/>
        <item x="233"/>
        <item x="101"/>
        <item x="252"/>
        <item x="118"/>
        <item x="221"/>
        <item x="86"/>
        <item x="179"/>
        <item x="80"/>
        <item x="2"/>
        <item x="19"/>
        <item x="194"/>
        <item x="51"/>
        <item x="87"/>
        <item x="74"/>
        <item x="209"/>
        <item x="26"/>
        <item x="234"/>
        <item x="154"/>
        <item x="196"/>
        <item x="35"/>
        <item x="254"/>
        <item x="188"/>
        <item x="208"/>
        <item x="132"/>
        <item x="129"/>
        <item x="256"/>
        <item x="195"/>
        <item x="27"/>
        <item x="225"/>
        <item x="61"/>
        <item x="0"/>
        <item x="12"/>
        <item x="245"/>
        <item x="24"/>
        <item x="102"/>
        <item x="13"/>
        <item x="204"/>
        <item x="20"/>
        <item x="9"/>
        <item x="189"/>
        <item x="122"/>
        <item x="253"/>
        <item x="183"/>
        <item x="191"/>
        <item x="163"/>
        <item x="242"/>
        <item x="42"/>
        <item x="235"/>
        <item x="161"/>
        <item x="197"/>
        <item x="228"/>
        <item x="170"/>
        <item x="66"/>
        <item x="84"/>
        <item x="54"/>
        <item x="247"/>
        <item x="141"/>
        <item x="71"/>
        <item x="82"/>
        <item x="250"/>
        <item x="200"/>
        <item x="81"/>
        <item x="171"/>
        <item x="203"/>
        <item x="117"/>
        <item x="151"/>
        <item x="3"/>
        <item x="176"/>
        <item x="128"/>
        <item x="126"/>
        <item x="105"/>
        <item x="60"/>
        <item x="227"/>
        <item x="257"/>
        <item x="110"/>
        <item x="220"/>
        <item x="152"/>
        <item x="246"/>
        <item x="88"/>
        <item x="136"/>
        <item x="92"/>
        <item x="231"/>
        <item x="98"/>
        <item x="79"/>
        <item x="153"/>
        <item x="50"/>
        <item x="109"/>
        <item x="236"/>
        <item x="1"/>
        <item x="135"/>
        <item x="216"/>
        <item x="226"/>
        <item x="106"/>
        <item x="33"/>
        <item x="41"/>
        <item x="18"/>
        <item x="199"/>
        <item x="172"/>
        <item x="149"/>
        <item x="95"/>
        <item x="76"/>
        <item x="43"/>
        <item x="7"/>
        <item x="160"/>
        <item x="103"/>
        <item x="155"/>
        <item x="116"/>
        <item t="default"/>
      </items>
    </pivotField>
    <pivotField showAll="0"/>
    <pivotField showAll="0"/>
    <pivotField showAll="0"/>
    <pivotField showAll="0"/>
    <pivotField showAll="0"/>
    <pivotField showAll="0">
      <items count="8">
        <item x="0"/>
        <item x="1"/>
        <item x="2"/>
        <item x="3"/>
        <item x="4"/>
        <item x="5"/>
        <item x="6"/>
        <item t="default"/>
      </items>
    </pivotField>
    <pivotField axis="axisRow" showAll="0">
      <items count="5">
        <item x="0"/>
        <item x="1"/>
        <item x="3"/>
        <item x="2"/>
        <item t="default"/>
      </items>
    </pivotField>
    <pivotField showAll="0"/>
    <pivotField showAll="0"/>
    <pivotField showAll="0"/>
    <pivotField dataField="1" showAll="0"/>
    <pivotField showAll="0"/>
    <pivotField axis="axisCol" numFmtId="164"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13"/>
  </colFields>
  <colItems count="4">
    <i>
      <x/>
    </i>
    <i>
      <x v="1"/>
    </i>
    <i>
      <x v="2"/>
    </i>
    <i t="grand">
      <x/>
    </i>
  </colItems>
  <dataFields count="1">
    <dataField name="Sum of sales ammount" fld="11" baseField="0" baseItem="0" numFmtId="164"/>
  </dataFields>
  <chartFormats count="3">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1"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85B80-B85C-4857-AC4F-5EA839DD40C9}"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K14" firstHeaderRow="0" firstDataRow="1" firstDataCol="1"/>
  <pivotFields count="16">
    <pivotField numFmtId="14" showAll="0">
      <items count="261">
        <item x="93"/>
        <item x="206"/>
        <item x="166"/>
        <item x="89"/>
        <item x="47"/>
        <item x="224"/>
        <item x="90"/>
        <item x="75"/>
        <item x="251"/>
        <item x="94"/>
        <item x="238"/>
        <item x="147"/>
        <item x="62"/>
        <item x="77"/>
        <item x="138"/>
        <item x="148"/>
        <item x="111"/>
        <item x="202"/>
        <item x="213"/>
        <item x="52"/>
        <item x="173"/>
        <item x="112"/>
        <item x="16"/>
        <item x="30"/>
        <item x="146"/>
        <item x="70"/>
        <item x="107"/>
        <item x="22"/>
        <item x="8"/>
        <item x="181"/>
        <item x="142"/>
        <item x="36"/>
        <item x="64"/>
        <item x="10"/>
        <item x="121"/>
        <item x="130"/>
        <item x="69"/>
        <item x="178"/>
        <item x="45"/>
        <item x="255"/>
        <item x="167"/>
        <item x="48"/>
        <item x="127"/>
        <item x="243"/>
        <item x="120"/>
        <item x="11"/>
        <item x="97"/>
        <item x="145"/>
        <item x="249"/>
        <item x="215"/>
        <item x="185"/>
        <item x="17"/>
        <item x="38"/>
        <item x="133"/>
        <item x="211"/>
        <item x="21"/>
        <item x="218"/>
        <item x="108"/>
        <item x="65"/>
        <item x="175"/>
        <item x="217"/>
        <item x="67"/>
        <item x="40"/>
        <item x="205"/>
        <item x="159"/>
        <item x="55"/>
        <item x="180"/>
        <item x="187"/>
        <item x="83"/>
        <item x="14"/>
        <item x="37"/>
        <item x="59"/>
        <item x="143"/>
        <item x="229"/>
        <item x="63"/>
        <item x="72"/>
        <item x="158"/>
        <item x="115"/>
        <item x="157"/>
        <item x="68"/>
        <item x="39"/>
        <item x="165"/>
        <item x="53"/>
        <item x="237"/>
        <item x="104"/>
        <item x="259"/>
        <item x="124"/>
        <item x="114"/>
        <item x="31"/>
        <item x="113"/>
        <item x="23"/>
        <item x="156"/>
        <item x="201"/>
        <item x="240"/>
        <item x="239"/>
        <item x="134"/>
        <item x="258"/>
        <item x="190"/>
        <item x="73"/>
        <item x="34"/>
        <item x="230"/>
        <item x="212"/>
        <item x="219"/>
        <item x="184"/>
        <item x="58"/>
        <item x="15"/>
        <item x="56"/>
        <item x="162"/>
        <item x="198"/>
        <item x="137"/>
        <item x="123"/>
        <item x="25"/>
        <item x="6"/>
        <item x="174"/>
        <item x="125"/>
        <item x="28"/>
        <item x="186"/>
        <item x="210"/>
        <item x="223"/>
        <item x="169"/>
        <item x="139"/>
        <item x="248"/>
        <item x="144"/>
        <item x="232"/>
        <item x="91"/>
        <item x="78"/>
        <item x="57"/>
        <item x="29"/>
        <item x="46"/>
        <item x="150"/>
        <item x="222"/>
        <item x="193"/>
        <item x="85"/>
        <item x="168"/>
        <item x="244"/>
        <item x="140"/>
        <item x="241"/>
        <item x="96"/>
        <item x="192"/>
        <item x="44"/>
        <item x="100"/>
        <item x="99"/>
        <item x="182"/>
        <item x="214"/>
        <item x="49"/>
        <item x="119"/>
        <item x="131"/>
        <item x="32"/>
        <item x="5"/>
        <item x="164"/>
        <item x="4"/>
        <item x="207"/>
        <item x="177"/>
        <item x="233"/>
        <item x="101"/>
        <item x="252"/>
        <item x="118"/>
        <item x="221"/>
        <item x="86"/>
        <item x="179"/>
        <item x="80"/>
        <item x="2"/>
        <item x="19"/>
        <item x="194"/>
        <item x="51"/>
        <item x="87"/>
        <item x="74"/>
        <item x="209"/>
        <item x="26"/>
        <item x="234"/>
        <item x="154"/>
        <item x="196"/>
        <item x="35"/>
        <item x="254"/>
        <item x="188"/>
        <item x="208"/>
        <item x="132"/>
        <item x="129"/>
        <item x="256"/>
        <item x="195"/>
        <item x="27"/>
        <item x="225"/>
        <item x="61"/>
        <item x="0"/>
        <item x="12"/>
        <item x="245"/>
        <item x="24"/>
        <item x="102"/>
        <item x="13"/>
        <item x="204"/>
        <item x="20"/>
        <item x="9"/>
        <item x="189"/>
        <item x="122"/>
        <item x="253"/>
        <item x="183"/>
        <item x="191"/>
        <item x="163"/>
        <item x="242"/>
        <item x="42"/>
        <item x="235"/>
        <item x="161"/>
        <item x="197"/>
        <item x="228"/>
        <item x="170"/>
        <item x="66"/>
        <item x="84"/>
        <item x="54"/>
        <item x="247"/>
        <item x="141"/>
        <item x="71"/>
        <item x="82"/>
        <item x="250"/>
        <item x="200"/>
        <item x="81"/>
        <item x="171"/>
        <item x="203"/>
        <item x="117"/>
        <item x="151"/>
        <item x="3"/>
        <item x="176"/>
        <item x="128"/>
        <item x="126"/>
        <item x="105"/>
        <item x="60"/>
        <item x="227"/>
        <item x="257"/>
        <item x="110"/>
        <item x="220"/>
        <item x="152"/>
        <item x="246"/>
        <item x="88"/>
        <item x="136"/>
        <item x="92"/>
        <item x="231"/>
        <item x="98"/>
        <item x="79"/>
        <item x="153"/>
        <item x="50"/>
        <item x="109"/>
        <item x="236"/>
        <item x="1"/>
        <item x="135"/>
        <item x="216"/>
        <item x="226"/>
        <item x="106"/>
        <item x="33"/>
        <item x="41"/>
        <item x="18"/>
        <item x="199"/>
        <item x="172"/>
        <item x="149"/>
        <item x="95"/>
        <item x="76"/>
        <item x="43"/>
        <item x="7"/>
        <item x="160"/>
        <item x="103"/>
        <item x="155"/>
        <item x="116"/>
        <item t="default"/>
      </items>
    </pivotField>
    <pivotField showAll="0"/>
    <pivotField showAll="0"/>
    <pivotField axis="axisRow" showAll="0" measureFilter="1">
      <items count="207">
        <item x="76"/>
        <item x="164"/>
        <item x="194"/>
        <item x="145"/>
        <item x="113"/>
        <item x="116"/>
        <item x="83"/>
        <item x="100"/>
        <item x="49"/>
        <item x="89"/>
        <item x="173"/>
        <item x="139"/>
        <item x="11"/>
        <item x="176"/>
        <item x="107"/>
        <item x="205"/>
        <item x="115"/>
        <item x="101"/>
        <item x="111"/>
        <item x="78"/>
        <item x="37"/>
        <item x="54"/>
        <item x="38"/>
        <item x="60"/>
        <item x="141"/>
        <item x="144"/>
        <item x="53"/>
        <item x="167"/>
        <item x="121"/>
        <item x="183"/>
        <item x="97"/>
        <item x="58"/>
        <item x="171"/>
        <item x="29"/>
        <item x="30"/>
        <item x="192"/>
        <item x="52"/>
        <item x="17"/>
        <item x="161"/>
        <item x="82"/>
        <item x="88"/>
        <item x="193"/>
        <item x="112"/>
        <item x="34"/>
        <item x="118"/>
        <item x="91"/>
        <item x="55"/>
        <item x="80"/>
        <item x="48"/>
        <item x="77"/>
        <item x="143"/>
        <item x="99"/>
        <item x="170"/>
        <item x="103"/>
        <item x="64"/>
        <item x="61"/>
        <item x="6"/>
        <item x="94"/>
        <item x="28"/>
        <item x="154"/>
        <item x="14"/>
        <item x="22"/>
        <item x="39"/>
        <item x="201"/>
        <item x="127"/>
        <item x="51"/>
        <item x="66"/>
        <item x="7"/>
        <item x="110"/>
        <item x="92"/>
        <item x="200"/>
        <item x="84"/>
        <item x="165"/>
        <item x="178"/>
        <item x="186"/>
        <item x="73"/>
        <item x="2"/>
        <item x="198"/>
        <item x="108"/>
        <item x="169"/>
        <item x="156"/>
        <item x="199"/>
        <item x="134"/>
        <item x="175"/>
        <item x="160"/>
        <item x="119"/>
        <item x="189"/>
        <item x="155"/>
        <item x="106"/>
        <item x="195"/>
        <item x="57"/>
        <item x="10"/>
        <item x="68"/>
        <item x="45"/>
        <item x="153"/>
        <item x="33"/>
        <item x="168"/>
        <item x="125"/>
        <item x="140"/>
        <item x="133"/>
        <item x="177"/>
        <item x="126"/>
        <item x="72"/>
        <item x="41"/>
        <item x="31"/>
        <item x="13"/>
        <item x="0"/>
        <item x="147"/>
        <item x="96"/>
        <item x="179"/>
        <item x="71"/>
        <item x="181"/>
        <item x="138"/>
        <item x="122"/>
        <item x="26"/>
        <item x="128"/>
        <item x="56"/>
        <item x="114"/>
        <item x="43"/>
        <item x="86"/>
        <item x="4"/>
        <item x="46"/>
        <item x="129"/>
        <item x="75"/>
        <item x="163"/>
        <item x="50"/>
        <item x="21"/>
        <item x="87"/>
        <item x="180"/>
        <item x="27"/>
        <item x="172"/>
        <item x="202"/>
        <item x="15"/>
        <item x="63"/>
        <item x="184"/>
        <item x="196"/>
        <item x="152"/>
        <item x="23"/>
        <item x="81"/>
        <item x="32"/>
        <item x="25"/>
        <item x="203"/>
        <item x="166"/>
        <item x="12"/>
        <item x="109"/>
        <item x="18"/>
        <item x="19"/>
        <item x="36"/>
        <item x="174"/>
        <item x="204"/>
        <item x="123"/>
        <item x="79"/>
        <item x="187"/>
        <item x="85"/>
        <item x="9"/>
        <item x="135"/>
        <item x="69"/>
        <item x="62"/>
        <item x="131"/>
        <item x="136"/>
        <item x="197"/>
        <item x="65"/>
        <item x="158"/>
        <item x="8"/>
        <item x="105"/>
        <item x="117"/>
        <item x="3"/>
        <item x="59"/>
        <item x="137"/>
        <item x="40"/>
        <item x="142"/>
        <item x="148"/>
        <item x="20"/>
        <item x="5"/>
        <item x="47"/>
        <item x="149"/>
        <item x="159"/>
        <item x="98"/>
        <item x="130"/>
        <item x="44"/>
        <item x="185"/>
        <item x="146"/>
        <item x="162"/>
        <item x="104"/>
        <item x="150"/>
        <item x="42"/>
        <item x="1"/>
        <item x="190"/>
        <item x="95"/>
        <item x="132"/>
        <item x="157"/>
        <item x="191"/>
        <item x="74"/>
        <item x="151"/>
        <item x="188"/>
        <item x="70"/>
        <item x="102"/>
        <item x="67"/>
        <item x="16"/>
        <item x="35"/>
        <item x="182"/>
        <item x="90"/>
        <item x="124"/>
        <item x="120"/>
        <item x="24"/>
        <item x="93"/>
        <item t="default"/>
      </items>
    </pivotField>
    <pivotField showAll="0"/>
    <pivotField showAll="0"/>
    <pivotField showAll="0">
      <items count="8">
        <item x="0"/>
        <item x="1"/>
        <item x="2"/>
        <item x="3"/>
        <item x="4"/>
        <item x="5"/>
        <item x="6"/>
        <item t="default"/>
      </items>
    </pivotField>
    <pivotField showAll="0">
      <items count="5">
        <item x="0"/>
        <item x="1"/>
        <item x="3"/>
        <item x="2"/>
        <item t="default"/>
      </items>
    </pivotField>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7"/>
    </i>
    <i>
      <x v="63"/>
    </i>
    <i>
      <x v="75"/>
    </i>
    <i>
      <x v="90"/>
    </i>
    <i>
      <x v="91"/>
    </i>
    <i>
      <x v="110"/>
    </i>
    <i>
      <x v="140"/>
    </i>
    <i>
      <x v="168"/>
    </i>
    <i>
      <x v="172"/>
    </i>
    <i>
      <x v="197"/>
    </i>
    <i t="grand">
      <x/>
    </i>
  </rowItems>
  <colFields count="1">
    <field x="-2"/>
  </colFields>
  <colItems count="2">
    <i>
      <x/>
    </i>
    <i i="1">
      <x v="1"/>
    </i>
  </colItems>
  <dataFields count="2">
    <dataField name="Sum of sales ammount" fld="11" baseField="0" baseItem="0" numFmtId="164"/>
    <dataField name="Sum of profit" fld="12" baseField="0" baseItem="0" numFmtId="164"/>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C245A5-DC54-40CC-82E6-77C0DD02A0C6}"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G11" firstHeaderRow="0" firstDataRow="1" firstDataCol="1"/>
  <pivotFields count="16">
    <pivotField numFmtId="14" showAll="0">
      <items count="261">
        <item x="93"/>
        <item x="206"/>
        <item x="166"/>
        <item x="89"/>
        <item x="47"/>
        <item x="224"/>
        <item x="90"/>
        <item x="75"/>
        <item x="251"/>
        <item x="94"/>
        <item x="238"/>
        <item x="147"/>
        <item x="62"/>
        <item x="77"/>
        <item x="138"/>
        <item x="148"/>
        <item x="111"/>
        <item x="202"/>
        <item x="213"/>
        <item x="52"/>
        <item x="173"/>
        <item x="112"/>
        <item x="16"/>
        <item x="30"/>
        <item x="146"/>
        <item x="70"/>
        <item x="107"/>
        <item x="22"/>
        <item x="8"/>
        <item x="181"/>
        <item x="142"/>
        <item x="36"/>
        <item x="64"/>
        <item x="10"/>
        <item x="121"/>
        <item x="130"/>
        <item x="69"/>
        <item x="178"/>
        <item x="45"/>
        <item x="255"/>
        <item x="167"/>
        <item x="48"/>
        <item x="127"/>
        <item x="243"/>
        <item x="120"/>
        <item x="11"/>
        <item x="97"/>
        <item x="145"/>
        <item x="249"/>
        <item x="215"/>
        <item x="185"/>
        <item x="17"/>
        <item x="38"/>
        <item x="133"/>
        <item x="211"/>
        <item x="21"/>
        <item x="218"/>
        <item x="108"/>
        <item x="65"/>
        <item x="175"/>
        <item x="217"/>
        <item x="67"/>
        <item x="40"/>
        <item x="205"/>
        <item x="159"/>
        <item x="55"/>
        <item x="180"/>
        <item x="187"/>
        <item x="83"/>
        <item x="14"/>
        <item x="37"/>
        <item x="59"/>
        <item x="143"/>
        <item x="229"/>
        <item x="63"/>
        <item x="72"/>
        <item x="158"/>
        <item x="115"/>
        <item x="157"/>
        <item x="68"/>
        <item x="39"/>
        <item x="165"/>
        <item x="53"/>
        <item x="237"/>
        <item x="104"/>
        <item x="259"/>
        <item x="124"/>
        <item x="114"/>
        <item x="31"/>
        <item x="113"/>
        <item x="23"/>
        <item x="156"/>
        <item x="201"/>
        <item x="240"/>
        <item x="239"/>
        <item x="134"/>
        <item x="258"/>
        <item x="190"/>
        <item x="73"/>
        <item x="34"/>
        <item x="230"/>
        <item x="212"/>
        <item x="219"/>
        <item x="184"/>
        <item x="58"/>
        <item x="15"/>
        <item x="56"/>
        <item x="162"/>
        <item x="198"/>
        <item x="137"/>
        <item x="123"/>
        <item x="25"/>
        <item x="6"/>
        <item x="174"/>
        <item x="125"/>
        <item x="28"/>
        <item x="186"/>
        <item x="210"/>
        <item x="223"/>
        <item x="169"/>
        <item x="139"/>
        <item x="248"/>
        <item x="144"/>
        <item x="232"/>
        <item x="91"/>
        <item x="78"/>
        <item x="57"/>
        <item x="29"/>
        <item x="46"/>
        <item x="150"/>
        <item x="222"/>
        <item x="193"/>
        <item x="85"/>
        <item x="168"/>
        <item x="244"/>
        <item x="140"/>
        <item x="241"/>
        <item x="96"/>
        <item x="192"/>
        <item x="44"/>
        <item x="100"/>
        <item x="99"/>
        <item x="182"/>
        <item x="214"/>
        <item x="49"/>
        <item x="119"/>
        <item x="131"/>
        <item x="32"/>
        <item x="5"/>
        <item x="164"/>
        <item x="4"/>
        <item x="207"/>
        <item x="177"/>
        <item x="233"/>
        <item x="101"/>
        <item x="252"/>
        <item x="118"/>
        <item x="221"/>
        <item x="86"/>
        <item x="179"/>
        <item x="80"/>
        <item x="2"/>
        <item x="19"/>
        <item x="194"/>
        <item x="51"/>
        <item x="87"/>
        <item x="74"/>
        <item x="209"/>
        <item x="26"/>
        <item x="234"/>
        <item x="154"/>
        <item x="196"/>
        <item x="35"/>
        <item x="254"/>
        <item x="188"/>
        <item x="208"/>
        <item x="132"/>
        <item x="129"/>
        <item x="256"/>
        <item x="195"/>
        <item x="27"/>
        <item x="225"/>
        <item x="61"/>
        <item x="0"/>
        <item x="12"/>
        <item x="245"/>
        <item x="24"/>
        <item x="102"/>
        <item x="13"/>
        <item x="204"/>
        <item x="20"/>
        <item x="9"/>
        <item x="189"/>
        <item x="122"/>
        <item x="253"/>
        <item x="183"/>
        <item x="191"/>
        <item x="163"/>
        <item x="242"/>
        <item x="42"/>
        <item x="235"/>
        <item x="161"/>
        <item x="197"/>
        <item x="228"/>
        <item x="170"/>
        <item x="66"/>
        <item x="84"/>
        <item x="54"/>
        <item x="247"/>
        <item x="141"/>
        <item x="71"/>
        <item x="82"/>
        <item x="250"/>
        <item x="200"/>
        <item x="81"/>
        <item x="171"/>
        <item x="203"/>
        <item x="117"/>
        <item x="151"/>
        <item x="3"/>
        <item x="176"/>
        <item x="128"/>
        <item x="126"/>
        <item x="105"/>
        <item x="60"/>
        <item x="227"/>
        <item x="257"/>
        <item x="110"/>
        <item x="220"/>
        <item x="152"/>
        <item x="246"/>
        <item x="88"/>
        <item x="136"/>
        <item x="92"/>
        <item x="231"/>
        <item x="98"/>
        <item x="79"/>
        <item x="153"/>
        <item x="50"/>
        <item x="109"/>
        <item x="236"/>
        <item x="1"/>
        <item x="135"/>
        <item x="216"/>
        <item x="226"/>
        <item x="106"/>
        <item x="33"/>
        <item x="41"/>
        <item x="18"/>
        <item x="199"/>
        <item x="172"/>
        <item x="149"/>
        <item x="95"/>
        <item x="76"/>
        <item x="43"/>
        <item x="7"/>
        <item x="160"/>
        <item x="103"/>
        <item x="155"/>
        <item x="116"/>
        <item t="default"/>
      </items>
    </pivotField>
    <pivotField showAll="0"/>
    <pivotField showAll="0"/>
    <pivotField showAll="0"/>
    <pivotField showAll="0"/>
    <pivotField showAll="0"/>
    <pivotField axis="axisRow" showAll="0">
      <items count="8">
        <item x="0"/>
        <item x="1"/>
        <item x="2"/>
        <item x="3"/>
        <item x="4"/>
        <item x="5"/>
        <item x="6"/>
        <item t="default"/>
      </items>
    </pivotField>
    <pivotField showAll="0">
      <items count="5">
        <item x="0"/>
        <item x="1"/>
        <item x="3"/>
        <item x="2"/>
        <item t="default"/>
      </items>
    </pivotField>
    <pivotField dataField="1"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Sum of Quantity Sold" fld="8" baseField="0" baseItem="0" numFmtId="4"/>
    <dataField name="Sum of sales ammount" fld="11" baseField="0" baseItem="0" numFmtId="164"/>
  </dataFields>
  <chartFormats count="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22958F-2BBE-400F-8D09-C56A008E4BE1}" name="Regional Performance"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16">
    <pivotField numFmtId="14" showAll="0">
      <items count="261">
        <item x="93"/>
        <item x="206"/>
        <item x="166"/>
        <item x="89"/>
        <item x="47"/>
        <item x="224"/>
        <item x="90"/>
        <item x="75"/>
        <item x="251"/>
        <item x="94"/>
        <item x="238"/>
        <item x="147"/>
        <item x="62"/>
        <item x="77"/>
        <item x="138"/>
        <item x="148"/>
        <item x="111"/>
        <item x="202"/>
        <item x="213"/>
        <item x="52"/>
        <item x="173"/>
        <item x="112"/>
        <item x="16"/>
        <item x="30"/>
        <item x="146"/>
        <item x="70"/>
        <item x="107"/>
        <item x="22"/>
        <item x="8"/>
        <item x="181"/>
        <item x="142"/>
        <item x="36"/>
        <item x="64"/>
        <item x="10"/>
        <item x="121"/>
        <item x="130"/>
        <item x="69"/>
        <item x="178"/>
        <item x="45"/>
        <item x="255"/>
        <item x="167"/>
        <item x="48"/>
        <item x="127"/>
        <item x="243"/>
        <item x="120"/>
        <item x="11"/>
        <item x="97"/>
        <item x="145"/>
        <item x="249"/>
        <item x="215"/>
        <item x="185"/>
        <item x="17"/>
        <item x="38"/>
        <item x="133"/>
        <item x="211"/>
        <item x="21"/>
        <item x="218"/>
        <item x="108"/>
        <item x="65"/>
        <item x="175"/>
        <item x="217"/>
        <item x="67"/>
        <item x="40"/>
        <item x="205"/>
        <item x="159"/>
        <item x="55"/>
        <item x="180"/>
        <item x="187"/>
        <item x="83"/>
        <item x="14"/>
        <item x="37"/>
        <item x="59"/>
        <item x="143"/>
        <item x="229"/>
        <item x="63"/>
        <item x="72"/>
        <item x="158"/>
        <item x="115"/>
        <item x="157"/>
        <item x="68"/>
        <item x="39"/>
        <item x="165"/>
        <item x="53"/>
        <item x="237"/>
        <item x="104"/>
        <item x="259"/>
        <item x="124"/>
        <item x="114"/>
        <item x="31"/>
        <item x="113"/>
        <item x="23"/>
        <item x="156"/>
        <item x="201"/>
        <item x="240"/>
        <item x="239"/>
        <item x="134"/>
        <item x="258"/>
        <item x="190"/>
        <item x="73"/>
        <item x="34"/>
        <item x="230"/>
        <item x="212"/>
        <item x="219"/>
        <item x="184"/>
        <item x="58"/>
        <item x="15"/>
        <item x="56"/>
        <item x="162"/>
        <item x="198"/>
        <item x="137"/>
        <item x="123"/>
        <item x="25"/>
        <item x="6"/>
        <item x="174"/>
        <item x="125"/>
        <item x="28"/>
        <item x="186"/>
        <item x="210"/>
        <item x="223"/>
        <item x="169"/>
        <item x="139"/>
        <item x="248"/>
        <item x="144"/>
        <item x="232"/>
        <item x="91"/>
        <item x="78"/>
        <item x="57"/>
        <item x="29"/>
        <item x="46"/>
        <item x="150"/>
        <item x="222"/>
        <item x="193"/>
        <item x="85"/>
        <item x="168"/>
        <item x="244"/>
        <item x="140"/>
        <item x="241"/>
        <item x="96"/>
        <item x="192"/>
        <item x="44"/>
        <item x="100"/>
        <item x="99"/>
        <item x="182"/>
        <item x="214"/>
        <item x="49"/>
        <item x="119"/>
        <item x="131"/>
        <item x="32"/>
        <item x="5"/>
        <item x="164"/>
        <item x="4"/>
        <item x="207"/>
        <item x="177"/>
        <item x="233"/>
        <item x="101"/>
        <item x="252"/>
        <item x="118"/>
        <item x="221"/>
        <item x="86"/>
        <item x="179"/>
        <item x="80"/>
        <item x="2"/>
        <item x="19"/>
        <item x="194"/>
        <item x="51"/>
        <item x="87"/>
        <item x="74"/>
        <item x="209"/>
        <item x="26"/>
        <item x="234"/>
        <item x="154"/>
        <item x="196"/>
        <item x="35"/>
        <item x="254"/>
        <item x="188"/>
        <item x="208"/>
        <item x="132"/>
        <item x="129"/>
        <item x="256"/>
        <item x="195"/>
        <item x="27"/>
        <item x="225"/>
        <item x="61"/>
        <item x="0"/>
        <item x="12"/>
        <item x="245"/>
        <item x="24"/>
        <item x="102"/>
        <item x="13"/>
        <item x="204"/>
        <item x="20"/>
        <item x="9"/>
        <item x="189"/>
        <item x="122"/>
        <item x="253"/>
        <item x="183"/>
        <item x="191"/>
        <item x="163"/>
        <item x="242"/>
        <item x="42"/>
        <item x="235"/>
        <item x="161"/>
        <item x="197"/>
        <item x="228"/>
        <item x="170"/>
        <item x="66"/>
        <item x="84"/>
        <item x="54"/>
        <item x="247"/>
        <item x="141"/>
        <item x="71"/>
        <item x="82"/>
        <item x="250"/>
        <item x="200"/>
        <item x="81"/>
        <item x="171"/>
        <item x="203"/>
        <item x="117"/>
        <item x="151"/>
        <item x="3"/>
        <item x="176"/>
        <item x="128"/>
        <item x="126"/>
        <item x="105"/>
        <item x="60"/>
        <item x="227"/>
        <item x="257"/>
        <item x="110"/>
        <item x="220"/>
        <item x="152"/>
        <item x="246"/>
        <item x="88"/>
        <item x="136"/>
        <item x="92"/>
        <item x="231"/>
        <item x="98"/>
        <item x="79"/>
        <item x="153"/>
        <item x="50"/>
        <item x="109"/>
        <item x="236"/>
        <item x="1"/>
        <item x="135"/>
        <item x="216"/>
        <item x="226"/>
        <item x="106"/>
        <item x="33"/>
        <item x="41"/>
        <item x="18"/>
        <item x="199"/>
        <item x="172"/>
        <item x="149"/>
        <item x="95"/>
        <item x="76"/>
        <item x="43"/>
        <item x="7"/>
        <item x="160"/>
        <item x="103"/>
        <item x="155"/>
        <item x="116"/>
        <item t="default"/>
      </items>
    </pivotField>
    <pivotField showAll="0"/>
    <pivotField showAll="0"/>
    <pivotField showAll="0"/>
    <pivotField showAll="0"/>
    <pivotField showAll="0"/>
    <pivotField showAll="0">
      <items count="8">
        <item x="0"/>
        <item x="1"/>
        <item x="2"/>
        <item x="3"/>
        <item x="4"/>
        <item x="5"/>
        <item x="6"/>
        <item t="default"/>
      </items>
    </pivotField>
    <pivotField axis="axisRow" showAll="0">
      <items count="5">
        <item x="0"/>
        <item x="1"/>
        <item x="3"/>
        <item x="2"/>
        <item t="default"/>
      </items>
    </pivotField>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2"/>
  </colFields>
  <colItems count="2">
    <i>
      <x/>
    </i>
    <i i="1">
      <x v="1"/>
    </i>
  </colItems>
  <dataFields count="2">
    <dataField name="Sum of sales ammount" fld="11" baseField="0" baseItem="0" numFmtId="164"/>
    <dataField name="Sum of profit" fld="12"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6851413C-5607-4EED-A672-DF2CEAABFADC}" sourceName="Item Category">
  <pivotTables>
    <pivotTable tabId="3" name="Regional Performance"/>
    <pivotTable tabId="3" name="PivotTable4"/>
    <pivotTable tabId="3" name="PivotTable5"/>
    <pivotTable tabId="3" name="PivotTable6"/>
    <pivotTable tabId="3" name="PivotTable7"/>
  </pivotTables>
  <data>
    <tabular pivotCacheId="1327369088">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74DBA0-10AC-4C77-9815-98F218594FF9}" sourceName="Region">
  <pivotTables>
    <pivotTable tabId="3" name="Regional Performance"/>
    <pivotTable tabId="3" name="PivotTable4"/>
    <pivotTable tabId="3" name="PivotTable5"/>
    <pivotTable tabId="3" name="PivotTable6"/>
    <pivotTable tabId="3" name="PivotTable7"/>
  </pivotTables>
  <data>
    <tabular pivotCacheId="132736908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Category" xr10:uid="{3B64AAAE-61E1-41E2-8896-E4960FA6EECD}" cache="Slicer_Item_Category" caption="Item Category" rowHeight="234950"/>
  <slicer name="Region" xr10:uid="{2971FD90-78B0-42E4-B143-01F10D6C8DD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D729FA-E8DB-49D2-9166-1A2676F4FEF8}" name="Table1" displayName="Table1" ref="A1:N501" totalsRowShown="0" headerRowDxfId="0">
  <autoFilter ref="A1:N501" xr:uid="{34D729FA-E8DB-49D2-9166-1A2676F4FEF8}"/>
  <tableColumns count="14">
    <tableColumn id="1" xr3:uid="{79B22ED7-73B8-4754-A955-340215434C9B}" name="Order Date" dataDxfId="13"/>
    <tableColumn id="2" xr3:uid="{58D52B96-D69C-4126-A141-9B7DE758942C}" name="Year" dataDxfId="12"/>
    <tableColumn id="3" xr3:uid="{9B3CD166-2271-480F-91F0-10FEB57D38A4}" name="Customer ID" dataDxfId="11"/>
    <tableColumn id="4" xr3:uid="{C9BF565F-3B14-489F-AB2A-56769B4FBD4A}" name="Customer Name" dataDxfId="10"/>
    <tableColumn id="5" xr3:uid="{DEA34289-79AE-4D7C-BF59-99D8BE42BFAE}" name="Product ID" dataDxfId="9"/>
    <tableColumn id="6" xr3:uid="{4B21DC80-858F-4BA6-8089-F4C0B898C908}" name="Product Name" dataDxfId="8"/>
    <tableColumn id="7" xr3:uid="{0DBC0635-3266-43D5-8DC5-3663B12798C3}" name="Item Category" dataDxfId="7"/>
    <tableColumn id="8" xr3:uid="{F77E1940-2FDC-4B6C-AD3D-7142055A19A6}" name="Region" dataDxfId="6"/>
    <tableColumn id="9" xr3:uid="{3AA938A6-D505-4113-B670-34E77312E852}" name="Quantity Sold" dataDxfId="5"/>
    <tableColumn id="10" xr3:uid="{BC3093AD-1EEB-45DB-A5DE-03F9D81BFE19}" name="Unit Price" dataDxfId="4"/>
    <tableColumn id="11" xr3:uid="{08D4DCAF-88BD-45A4-B9DD-E5D97BB7DD8D}" name="Cost Amount" dataDxfId="3"/>
    <tableColumn id="12" xr3:uid="{329D5240-3C08-4B62-8DA9-5FBB892F5796}" name="sales ammount" dataDxfId="2">
      <calculatedColumnFormula>I2*J2</calculatedColumnFormula>
    </tableColumn>
    <tableColumn id="13" xr3:uid="{43E13DB8-8395-4D3A-8E83-23B0C0698C41}" name="profit" dataDxfId="1">
      <calculatedColumnFormula>L2-K2</calculatedColumnFormula>
    </tableColumn>
    <tableColumn id="14" xr3:uid="{E94447B7-DD9E-485F-A2CA-B32E8F894EBA}" name="sales">
      <calculatedColumnFormula>IF(L2&gt;=3000,"High",IF(L2&gt;=1500,"Medium","Low"))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BCBD-55BC-43C5-B188-9B7ABC2F0FDB}">
  <dimension ref="A1:N501"/>
  <sheetViews>
    <sheetView topLeftCell="E2" zoomScaleNormal="100" workbookViewId="0">
      <selection activeCell="T5" sqref="T5"/>
    </sheetView>
  </sheetViews>
  <sheetFormatPr defaultRowHeight="14.4" x14ac:dyDescent="0.3"/>
  <cols>
    <col min="1" max="1" width="12" customWidth="1"/>
    <col min="2" max="2" width="6.5546875" customWidth="1"/>
    <col min="3" max="3" width="13.21875" customWidth="1"/>
    <col min="4" max="4" width="16.44140625" customWidth="1"/>
    <col min="5" max="5" width="11.77734375" customWidth="1"/>
    <col min="6" max="6" width="15" customWidth="1"/>
    <col min="7" max="7" width="14.77734375" customWidth="1"/>
    <col min="8" max="8" width="8.6640625" customWidth="1"/>
    <col min="9" max="9" width="14.33203125" customWidth="1"/>
    <col min="10" max="10" width="11" customWidth="1"/>
    <col min="11" max="11" width="13.88671875" customWidth="1"/>
    <col min="12" max="12" width="15.6640625" customWidth="1"/>
  </cols>
  <sheetData>
    <row r="1" spans="1:14" x14ac:dyDescent="0.3">
      <c r="A1" s="1" t="s">
        <v>0</v>
      </c>
      <c r="B1" s="1" t="s">
        <v>1</v>
      </c>
      <c r="C1" s="1" t="s">
        <v>2</v>
      </c>
      <c r="D1" s="1" t="s">
        <v>3</v>
      </c>
      <c r="E1" s="1" t="s">
        <v>4</v>
      </c>
      <c r="F1" s="1" t="s">
        <v>5</v>
      </c>
      <c r="G1" s="1" t="s">
        <v>6</v>
      </c>
      <c r="H1" s="1" t="s">
        <v>7</v>
      </c>
      <c r="I1" s="1" t="s">
        <v>8</v>
      </c>
      <c r="J1" s="1" t="s">
        <v>9</v>
      </c>
      <c r="K1" s="1" t="s">
        <v>10</v>
      </c>
      <c r="L1" s="6" t="s">
        <v>429</v>
      </c>
      <c r="M1" s="6" t="s">
        <v>430</v>
      </c>
      <c r="N1" s="6" t="s">
        <v>428</v>
      </c>
    </row>
    <row r="2" spans="1:14" x14ac:dyDescent="0.3">
      <c r="A2" s="2">
        <v>46286</v>
      </c>
      <c r="B2" s="3">
        <v>2026</v>
      </c>
      <c r="C2" s="3" t="s">
        <v>11</v>
      </c>
      <c r="D2" s="3" t="s">
        <v>12</v>
      </c>
      <c r="E2" s="3" t="s">
        <v>13</v>
      </c>
      <c r="F2" s="3" t="s">
        <v>14</v>
      </c>
      <c r="G2" s="3" t="s">
        <v>15</v>
      </c>
      <c r="H2" s="3" t="s">
        <v>16</v>
      </c>
      <c r="I2" s="3">
        <v>2</v>
      </c>
      <c r="J2" s="3">
        <v>310.92</v>
      </c>
      <c r="K2" s="3">
        <v>455.11</v>
      </c>
      <c r="L2" s="3">
        <f>I2*J2</f>
        <v>621.84</v>
      </c>
      <c r="M2" s="3">
        <f>L2-K2</f>
        <v>166.73000000000002</v>
      </c>
      <c r="N2" t="str">
        <f>IF(L2&gt;=3000,"High",IF(L2&gt;=1500,"Medium","Low"))</f>
        <v>Low</v>
      </c>
    </row>
    <row r="3" spans="1:14" x14ac:dyDescent="0.3">
      <c r="A3" s="4">
        <v>46363</v>
      </c>
      <c r="B3" s="5">
        <v>2026</v>
      </c>
      <c r="C3" s="5" t="s">
        <v>17</v>
      </c>
      <c r="D3" s="5" t="s">
        <v>18</v>
      </c>
      <c r="E3" s="5" t="s">
        <v>19</v>
      </c>
      <c r="F3" s="5" t="s">
        <v>20</v>
      </c>
      <c r="G3" s="5" t="s">
        <v>15</v>
      </c>
      <c r="H3" s="5" t="s">
        <v>21</v>
      </c>
      <c r="I3" s="5">
        <v>13</v>
      </c>
      <c r="J3" s="5">
        <v>35.79</v>
      </c>
      <c r="K3" s="5">
        <v>321.38</v>
      </c>
      <c r="L3" s="7">
        <f t="shared" ref="L3:L66" si="0">I3*J3</f>
        <v>465.27</v>
      </c>
      <c r="M3" s="7">
        <f t="shared" ref="M3:M66" si="1">L3-K3</f>
        <v>143.88999999999999</v>
      </c>
      <c r="N3" t="str">
        <f t="shared" ref="N3:N66" si="2">IF(L3&gt;=3000,"High",IF(L3&gt;=1500,"Medium","Low"))</f>
        <v>Low</v>
      </c>
    </row>
    <row r="4" spans="1:14" x14ac:dyDescent="0.3">
      <c r="A4" s="2">
        <v>46255</v>
      </c>
      <c r="B4" s="3">
        <v>2026</v>
      </c>
      <c r="C4" s="3" t="s">
        <v>22</v>
      </c>
      <c r="D4" s="3" t="s">
        <v>23</v>
      </c>
      <c r="E4" s="3" t="s">
        <v>13</v>
      </c>
      <c r="F4" s="3" t="s">
        <v>14</v>
      </c>
      <c r="G4" s="3" t="s">
        <v>15</v>
      </c>
      <c r="H4" s="3" t="s">
        <v>16</v>
      </c>
      <c r="I4" s="3">
        <v>11</v>
      </c>
      <c r="J4" s="3">
        <v>63.79</v>
      </c>
      <c r="K4" s="3">
        <v>545.28</v>
      </c>
      <c r="L4" s="3">
        <f t="shared" si="0"/>
        <v>701.68999999999994</v>
      </c>
      <c r="M4" s="3">
        <f t="shared" si="1"/>
        <v>156.40999999999997</v>
      </c>
      <c r="N4" t="str">
        <f t="shared" si="2"/>
        <v>Low</v>
      </c>
    </row>
    <row r="5" spans="1:14" x14ac:dyDescent="0.3">
      <c r="A5" s="4">
        <v>46338</v>
      </c>
      <c r="B5" s="5">
        <v>2026</v>
      </c>
      <c r="C5" s="5" t="s">
        <v>24</v>
      </c>
      <c r="D5" s="5" t="s">
        <v>25</v>
      </c>
      <c r="E5" s="5" t="s">
        <v>26</v>
      </c>
      <c r="F5" s="5" t="s">
        <v>27</v>
      </c>
      <c r="G5" s="5" t="s">
        <v>15</v>
      </c>
      <c r="H5" s="5" t="s">
        <v>28</v>
      </c>
      <c r="I5" s="5">
        <v>11</v>
      </c>
      <c r="J5" s="5">
        <v>201.37</v>
      </c>
      <c r="K5" s="5">
        <v>1250.05</v>
      </c>
      <c r="L5" s="7">
        <f t="shared" si="0"/>
        <v>2215.0700000000002</v>
      </c>
      <c r="M5" s="7">
        <f t="shared" si="1"/>
        <v>965.02000000000021</v>
      </c>
      <c r="N5" t="str">
        <f t="shared" si="2"/>
        <v>Medium</v>
      </c>
    </row>
    <row r="6" spans="1:14" x14ac:dyDescent="0.3">
      <c r="A6" s="2">
        <v>46242</v>
      </c>
      <c r="B6" s="3">
        <v>2026</v>
      </c>
      <c r="C6" s="3" t="s">
        <v>29</v>
      </c>
      <c r="D6" s="3" t="s">
        <v>30</v>
      </c>
      <c r="E6" s="3" t="s">
        <v>31</v>
      </c>
      <c r="F6" s="3" t="s">
        <v>32</v>
      </c>
      <c r="G6" s="3" t="s">
        <v>15</v>
      </c>
      <c r="H6" s="3" t="s">
        <v>21</v>
      </c>
      <c r="I6" s="3">
        <v>20</v>
      </c>
      <c r="J6" s="3">
        <v>98.75</v>
      </c>
      <c r="K6" s="3">
        <v>1287.8900000000001</v>
      </c>
      <c r="L6" s="3">
        <f t="shared" si="0"/>
        <v>1975</v>
      </c>
      <c r="M6" s="7">
        <f t="shared" si="1"/>
        <v>687.1099999999999</v>
      </c>
      <c r="N6" t="str">
        <f t="shared" si="2"/>
        <v>Medium</v>
      </c>
    </row>
    <row r="7" spans="1:14" x14ac:dyDescent="0.3">
      <c r="A7" s="4">
        <v>46239</v>
      </c>
      <c r="B7" s="5">
        <v>2026</v>
      </c>
      <c r="C7" s="5" t="s">
        <v>33</v>
      </c>
      <c r="D7" s="5" t="s">
        <v>34</v>
      </c>
      <c r="E7" s="5" t="s">
        <v>35</v>
      </c>
      <c r="F7" s="5" t="s">
        <v>36</v>
      </c>
      <c r="G7" s="5" t="s">
        <v>15</v>
      </c>
      <c r="H7" s="5" t="s">
        <v>28</v>
      </c>
      <c r="I7" s="5">
        <v>11</v>
      </c>
      <c r="J7" s="5">
        <v>413.88</v>
      </c>
      <c r="K7" s="5">
        <v>3095.26</v>
      </c>
      <c r="L7" s="7">
        <f t="shared" si="0"/>
        <v>4552.68</v>
      </c>
      <c r="M7" s="7">
        <f t="shared" si="1"/>
        <v>1457.42</v>
      </c>
      <c r="N7" t="str">
        <f t="shared" si="2"/>
        <v>High</v>
      </c>
    </row>
    <row r="8" spans="1:14" x14ac:dyDescent="0.3">
      <c r="A8" s="2">
        <v>46188</v>
      </c>
      <c r="B8" s="3">
        <v>2026</v>
      </c>
      <c r="C8" s="3" t="s">
        <v>37</v>
      </c>
      <c r="D8" s="3" t="s">
        <v>38</v>
      </c>
      <c r="E8" s="3" t="s">
        <v>35</v>
      </c>
      <c r="F8" s="3" t="s">
        <v>36</v>
      </c>
      <c r="G8" s="3" t="s">
        <v>15</v>
      </c>
      <c r="H8" s="3" t="s">
        <v>39</v>
      </c>
      <c r="I8" s="3">
        <v>2</v>
      </c>
      <c r="J8" s="3">
        <v>498.01</v>
      </c>
      <c r="K8" s="3">
        <v>600.57000000000005</v>
      </c>
      <c r="L8" s="7">
        <f t="shared" si="0"/>
        <v>996.02</v>
      </c>
      <c r="M8" s="7">
        <f t="shared" si="1"/>
        <v>395.44999999999993</v>
      </c>
      <c r="N8" t="str">
        <f t="shared" si="2"/>
        <v>Low</v>
      </c>
    </row>
    <row r="9" spans="1:14" x14ac:dyDescent="0.3">
      <c r="A9" s="4">
        <v>46382</v>
      </c>
      <c r="B9" s="5">
        <v>2026</v>
      </c>
      <c r="C9" s="5" t="s">
        <v>40</v>
      </c>
      <c r="D9" s="5" t="s">
        <v>41</v>
      </c>
      <c r="E9" s="5" t="s">
        <v>42</v>
      </c>
      <c r="F9" s="5" t="s">
        <v>43</v>
      </c>
      <c r="G9" s="5" t="s">
        <v>15</v>
      </c>
      <c r="H9" s="5" t="s">
        <v>39</v>
      </c>
      <c r="I9" s="5">
        <v>17</v>
      </c>
      <c r="J9" s="5">
        <v>114.21</v>
      </c>
      <c r="K9" s="5">
        <v>1375.29</v>
      </c>
      <c r="L9" s="7">
        <f t="shared" si="0"/>
        <v>1941.57</v>
      </c>
      <c r="M9" s="7">
        <f t="shared" si="1"/>
        <v>566.28</v>
      </c>
      <c r="N9" t="str">
        <f t="shared" si="2"/>
        <v>Medium</v>
      </c>
    </row>
    <row r="10" spans="1:14" x14ac:dyDescent="0.3">
      <c r="A10" s="2">
        <v>46066</v>
      </c>
      <c r="B10" s="3">
        <v>2026</v>
      </c>
      <c r="C10" s="3" t="s">
        <v>44</v>
      </c>
      <c r="D10" s="3" t="s">
        <v>45</v>
      </c>
      <c r="E10" s="3" t="s">
        <v>19</v>
      </c>
      <c r="F10" s="3" t="s">
        <v>20</v>
      </c>
      <c r="G10" s="3" t="s">
        <v>15</v>
      </c>
      <c r="H10" s="3" t="s">
        <v>39</v>
      </c>
      <c r="I10" s="3">
        <v>8</v>
      </c>
      <c r="J10" s="3">
        <v>43.03</v>
      </c>
      <c r="K10" s="3">
        <v>218.34</v>
      </c>
      <c r="L10" s="7">
        <f t="shared" si="0"/>
        <v>344.24</v>
      </c>
      <c r="M10" s="7">
        <f t="shared" si="1"/>
        <v>125.9</v>
      </c>
      <c r="N10" t="str">
        <f t="shared" si="2"/>
        <v>Low</v>
      </c>
    </row>
    <row r="11" spans="1:14" x14ac:dyDescent="0.3">
      <c r="A11" s="4">
        <v>46299</v>
      </c>
      <c r="B11" s="5">
        <v>2026</v>
      </c>
      <c r="C11" s="5" t="s">
        <v>22</v>
      </c>
      <c r="D11" s="5" t="s">
        <v>46</v>
      </c>
      <c r="E11" s="5" t="s">
        <v>13</v>
      </c>
      <c r="F11" s="5" t="s">
        <v>14</v>
      </c>
      <c r="G11" s="5" t="s">
        <v>15</v>
      </c>
      <c r="H11" s="5" t="s">
        <v>39</v>
      </c>
      <c r="I11" s="5">
        <v>4</v>
      </c>
      <c r="J11" s="5">
        <v>187.73</v>
      </c>
      <c r="K11" s="5">
        <v>484.83</v>
      </c>
      <c r="L11" s="7">
        <f t="shared" si="0"/>
        <v>750.92</v>
      </c>
      <c r="M11" s="7">
        <f t="shared" si="1"/>
        <v>266.08999999999997</v>
      </c>
      <c r="N11" t="str">
        <f t="shared" si="2"/>
        <v>Low</v>
      </c>
    </row>
    <row r="12" spans="1:14" x14ac:dyDescent="0.3">
      <c r="A12" s="2">
        <v>46074</v>
      </c>
      <c r="B12" s="3">
        <v>2026</v>
      </c>
      <c r="C12" s="3" t="s">
        <v>47</v>
      </c>
      <c r="D12" s="3" t="s">
        <v>48</v>
      </c>
      <c r="E12" s="3" t="s">
        <v>13</v>
      </c>
      <c r="F12" s="3" t="s">
        <v>14</v>
      </c>
      <c r="G12" s="3" t="s">
        <v>15</v>
      </c>
      <c r="H12" s="3" t="s">
        <v>16</v>
      </c>
      <c r="I12" s="3">
        <v>10</v>
      </c>
      <c r="J12" s="3">
        <v>112.32</v>
      </c>
      <c r="K12" s="3">
        <v>712.9</v>
      </c>
      <c r="L12" s="7">
        <f t="shared" si="0"/>
        <v>1123.1999999999998</v>
      </c>
      <c r="M12" s="7">
        <f t="shared" si="1"/>
        <v>410.29999999999984</v>
      </c>
      <c r="N12" t="str">
        <f t="shared" si="2"/>
        <v>Low</v>
      </c>
    </row>
    <row r="13" spans="1:14" x14ac:dyDescent="0.3">
      <c r="A13" s="4">
        <v>46095</v>
      </c>
      <c r="B13" s="5">
        <v>2026</v>
      </c>
      <c r="C13" s="5" t="s">
        <v>17</v>
      </c>
      <c r="D13" s="5" t="s">
        <v>49</v>
      </c>
      <c r="E13" s="5" t="s">
        <v>35</v>
      </c>
      <c r="F13" s="5" t="s">
        <v>36</v>
      </c>
      <c r="G13" s="5" t="s">
        <v>15</v>
      </c>
      <c r="H13" s="5" t="s">
        <v>16</v>
      </c>
      <c r="I13" s="5">
        <v>6</v>
      </c>
      <c r="J13" s="5">
        <v>335.71</v>
      </c>
      <c r="K13" s="5">
        <v>1168.0899999999999</v>
      </c>
      <c r="L13" s="7">
        <f t="shared" si="0"/>
        <v>2014.2599999999998</v>
      </c>
      <c r="M13" s="7">
        <f t="shared" si="1"/>
        <v>846.16999999999985</v>
      </c>
      <c r="N13" t="str">
        <f t="shared" si="2"/>
        <v>Medium</v>
      </c>
    </row>
    <row r="14" spans="1:14" x14ac:dyDescent="0.3">
      <c r="A14" s="2">
        <v>46288</v>
      </c>
      <c r="B14" s="3">
        <v>2026</v>
      </c>
      <c r="C14" s="3" t="s">
        <v>50</v>
      </c>
      <c r="D14" s="3" t="s">
        <v>51</v>
      </c>
      <c r="E14" s="3" t="s">
        <v>35</v>
      </c>
      <c r="F14" s="3" t="s">
        <v>36</v>
      </c>
      <c r="G14" s="3" t="s">
        <v>15</v>
      </c>
      <c r="H14" s="3" t="s">
        <v>28</v>
      </c>
      <c r="I14" s="3">
        <v>10</v>
      </c>
      <c r="J14" s="3">
        <v>376.59</v>
      </c>
      <c r="K14" s="3">
        <v>3051.03</v>
      </c>
      <c r="L14" s="7">
        <f t="shared" si="0"/>
        <v>3765.8999999999996</v>
      </c>
      <c r="M14" s="7">
        <f t="shared" si="1"/>
        <v>714.86999999999944</v>
      </c>
      <c r="N14" t="str">
        <f t="shared" si="2"/>
        <v>High</v>
      </c>
    </row>
    <row r="15" spans="1:14" x14ac:dyDescent="0.3">
      <c r="A15" s="4">
        <v>46293</v>
      </c>
      <c r="B15" s="5">
        <v>2026</v>
      </c>
      <c r="C15" s="5" t="s">
        <v>24</v>
      </c>
      <c r="D15" s="5" t="s">
        <v>52</v>
      </c>
      <c r="E15" s="5" t="s">
        <v>26</v>
      </c>
      <c r="F15" s="5" t="s">
        <v>27</v>
      </c>
      <c r="G15" s="5" t="s">
        <v>15</v>
      </c>
      <c r="H15" s="5" t="s">
        <v>21</v>
      </c>
      <c r="I15" s="5">
        <v>4</v>
      </c>
      <c r="J15" s="5">
        <v>273.18</v>
      </c>
      <c r="K15" s="5">
        <v>660.65</v>
      </c>
      <c r="L15" s="7">
        <f t="shared" si="0"/>
        <v>1092.72</v>
      </c>
      <c r="M15" s="7">
        <f t="shared" si="1"/>
        <v>432.07000000000005</v>
      </c>
      <c r="N15" t="str">
        <f t="shared" si="2"/>
        <v>Low</v>
      </c>
    </row>
    <row r="16" spans="1:14" x14ac:dyDescent="0.3">
      <c r="A16" s="2">
        <v>46286</v>
      </c>
      <c r="B16" s="3">
        <v>2026</v>
      </c>
      <c r="C16" s="3" t="s">
        <v>53</v>
      </c>
      <c r="D16" s="3" t="s">
        <v>54</v>
      </c>
      <c r="E16" s="3" t="s">
        <v>42</v>
      </c>
      <c r="F16" s="3" t="s">
        <v>43</v>
      </c>
      <c r="G16" s="3" t="s">
        <v>15</v>
      </c>
      <c r="H16" s="3" t="s">
        <v>39</v>
      </c>
      <c r="I16" s="3">
        <v>14</v>
      </c>
      <c r="J16" s="3">
        <v>153.19999999999999</v>
      </c>
      <c r="K16" s="3">
        <v>1452.04</v>
      </c>
      <c r="L16" s="7">
        <f t="shared" si="0"/>
        <v>2144.7999999999997</v>
      </c>
      <c r="M16" s="7">
        <f t="shared" si="1"/>
        <v>692.75999999999976</v>
      </c>
      <c r="N16" t="str">
        <f t="shared" si="2"/>
        <v>Medium</v>
      </c>
    </row>
    <row r="17" spans="1:14" x14ac:dyDescent="0.3">
      <c r="A17" s="4">
        <v>46130</v>
      </c>
      <c r="B17" s="5">
        <v>2026</v>
      </c>
      <c r="C17" s="5" t="s">
        <v>55</v>
      </c>
      <c r="D17" s="5" t="s">
        <v>56</v>
      </c>
      <c r="E17" s="5" t="s">
        <v>19</v>
      </c>
      <c r="F17" s="5" t="s">
        <v>20</v>
      </c>
      <c r="G17" s="5" t="s">
        <v>15</v>
      </c>
      <c r="H17" s="5" t="s">
        <v>16</v>
      </c>
      <c r="I17" s="5">
        <v>7</v>
      </c>
      <c r="J17" s="5">
        <v>219.37</v>
      </c>
      <c r="K17" s="5">
        <v>1121.56</v>
      </c>
      <c r="L17" s="7">
        <f t="shared" si="0"/>
        <v>1535.5900000000001</v>
      </c>
      <c r="M17" s="7">
        <f t="shared" si="1"/>
        <v>414.0300000000002</v>
      </c>
      <c r="N17" t="str">
        <f t="shared" si="2"/>
        <v>Medium</v>
      </c>
    </row>
    <row r="18" spans="1:14" x14ac:dyDescent="0.3">
      <c r="A18" s="2">
        <v>46180</v>
      </c>
      <c r="B18" s="3">
        <v>2026</v>
      </c>
      <c r="C18" s="3" t="s">
        <v>57</v>
      </c>
      <c r="D18" s="3" t="s">
        <v>58</v>
      </c>
      <c r="E18" s="3" t="s">
        <v>31</v>
      </c>
      <c r="F18" s="3" t="s">
        <v>32</v>
      </c>
      <c r="G18" s="3" t="s">
        <v>15</v>
      </c>
      <c r="H18" s="3" t="s">
        <v>21</v>
      </c>
      <c r="I18" s="3">
        <v>1</v>
      </c>
      <c r="J18" s="3">
        <v>436.31</v>
      </c>
      <c r="K18" s="3">
        <v>284.48</v>
      </c>
      <c r="L18" s="7">
        <f t="shared" si="0"/>
        <v>436.31</v>
      </c>
      <c r="M18" s="7">
        <f t="shared" si="1"/>
        <v>151.82999999999998</v>
      </c>
      <c r="N18" t="str">
        <f t="shared" si="2"/>
        <v>Low</v>
      </c>
    </row>
    <row r="19" spans="1:14" x14ac:dyDescent="0.3">
      <c r="A19" s="4">
        <v>46056</v>
      </c>
      <c r="B19" s="5">
        <v>2026</v>
      </c>
      <c r="C19" s="5" t="s">
        <v>59</v>
      </c>
      <c r="D19" s="5" t="s">
        <v>60</v>
      </c>
      <c r="E19" s="5" t="s">
        <v>19</v>
      </c>
      <c r="F19" s="5" t="s">
        <v>20</v>
      </c>
      <c r="G19" s="5" t="s">
        <v>15</v>
      </c>
      <c r="H19" s="5" t="s">
        <v>21</v>
      </c>
      <c r="I19" s="5">
        <v>5</v>
      </c>
      <c r="J19" s="5">
        <v>264.85000000000002</v>
      </c>
      <c r="K19" s="5">
        <v>924.16</v>
      </c>
      <c r="L19" s="7">
        <f t="shared" si="0"/>
        <v>1324.25</v>
      </c>
      <c r="M19" s="7">
        <f t="shared" si="1"/>
        <v>400.09000000000003</v>
      </c>
      <c r="N19" t="str">
        <f t="shared" si="2"/>
        <v>Low</v>
      </c>
    </row>
    <row r="20" spans="1:14" x14ac:dyDescent="0.3">
      <c r="A20" s="2">
        <v>46104</v>
      </c>
      <c r="B20" s="3">
        <v>2026</v>
      </c>
      <c r="C20" s="3" t="s">
        <v>61</v>
      </c>
      <c r="D20" s="3" t="s">
        <v>62</v>
      </c>
      <c r="E20" s="3" t="s">
        <v>26</v>
      </c>
      <c r="F20" s="3" t="s">
        <v>27</v>
      </c>
      <c r="G20" s="3" t="s">
        <v>15</v>
      </c>
      <c r="H20" s="3" t="s">
        <v>21</v>
      </c>
      <c r="I20" s="3">
        <v>18</v>
      </c>
      <c r="J20" s="3">
        <v>178.93</v>
      </c>
      <c r="K20" s="3">
        <v>1934.89</v>
      </c>
      <c r="L20" s="7">
        <f t="shared" si="0"/>
        <v>3220.7400000000002</v>
      </c>
      <c r="M20" s="7">
        <f t="shared" si="1"/>
        <v>1285.8500000000001</v>
      </c>
      <c r="N20" t="str">
        <f t="shared" si="2"/>
        <v>High</v>
      </c>
    </row>
    <row r="21" spans="1:14" x14ac:dyDescent="0.3">
      <c r="A21" s="4">
        <v>46371</v>
      </c>
      <c r="B21" s="5">
        <v>2026</v>
      </c>
      <c r="C21" s="5" t="s">
        <v>50</v>
      </c>
      <c r="D21" s="5" t="s">
        <v>63</v>
      </c>
      <c r="E21" s="5" t="s">
        <v>64</v>
      </c>
      <c r="F21" s="5" t="s">
        <v>65</v>
      </c>
      <c r="G21" s="5" t="s">
        <v>15</v>
      </c>
      <c r="H21" s="5" t="s">
        <v>21</v>
      </c>
      <c r="I21" s="5">
        <v>3</v>
      </c>
      <c r="J21" s="5">
        <v>239.58</v>
      </c>
      <c r="K21" s="5">
        <v>584.9</v>
      </c>
      <c r="L21" s="7">
        <f t="shared" si="0"/>
        <v>718.74</v>
      </c>
      <c r="M21" s="7">
        <f t="shared" si="1"/>
        <v>133.84000000000003</v>
      </c>
      <c r="N21" t="str">
        <f t="shared" si="2"/>
        <v>Low</v>
      </c>
    </row>
    <row r="22" spans="1:14" x14ac:dyDescent="0.3">
      <c r="A22" s="2">
        <v>46256</v>
      </c>
      <c r="B22" s="3">
        <v>2026</v>
      </c>
      <c r="C22" s="3" t="s">
        <v>66</v>
      </c>
      <c r="D22" s="3" t="s">
        <v>67</v>
      </c>
      <c r="E22" s="3" t="s">
        <v>35</v>
      </c>
      <c r="F22" s="3" t="s">
        <v>36</v>
      </c>
      <c r="G22" s="3" t="s">
        <v>15</v>
      </c>
      <c r="H22" s="3" t="s">
        <v>16</v>
      </c>
      <c r="I22" s="3">
        <v>15</v>
      </c>
      <c r="J22" s="3">
        <v>110.7</v>
      </c>
      <c r="K22" s="3">
        <v>1149.77</v>
      </c>
      <c r="L22" s="7">
        <f t="shared" si="0"/>
        <v>1660.5</v>
      </c>
      <c r="M22" s="7">
        <f t="shared" si="1"/>
        <v>510.73</v>
      </c>
      <c r="N22" t="str">
        <f t="shared" si="2"/>
        <v>Medium</v>
      </c>
    </row>
    <row r="23" spans="1:14" x14ac:dyDescent="0.3">
      <c r="A23" s="4">
        <v>46298</v>
      </c>
      <c r="B23" s="5">
        <v>2026</v>
      </c>
      <c r="C23" s="5" t="s">
        <v>68</v>
      </c>
      <c r="D23" s="5" t="s">
        <v>69</v>
      </c>
      <c r="E23" s="5" t="s">
        <v>42</v>
      </c>
      <c r="F23" s="5" t="s">
        <v>43</v>
      </c>
      <c r="G23" s="5" t="s">
        <v>15</v>
      </c>
      <c r="H23" s="5" t="s">
        <v>21</v>
      </c>
      <c r="I23" s="5">
        <v>12</v>
      </c>
      <c r="J23" s="5">
        <v>342.59</v>
      </c>
      <c r="K23" s="5">
        <v>2979.09</v>
      </c>
      <c r="L23" s="7">
        <f t="shared" si="0"/>
        <v>4111.08</v>
      </c>
      <c r="M23" s="7">
        <f t="shared" si="1"/>
        <v>1131.9899999999998</v>
      </c>
      <c r="N23" t="str">
        <f t="shared" si="2"/>
        <v>High</v>
      </c>
    </row>
    <row r="24" spans="1:14" x14ac:dyDescent="0.3">
      <c r="A24" s="2">
        <v>46110</v>
      </c>
      <c r="B24" s="3">
        <v>2026</v>
      </c>
      <c r="C24" s="3" t="s">
        <v>70</v>
      </c>
      <c r="D24" s="3" t="s">
        <v>18</v>
      </c>
      <c r="E24" s="3" t="s">
        <v>31</v>
      </c>
      <c r="F24" s="3" t="s">
        <v>32</v>
      </c>
      <c r="G24" s="3" t="s">
        <v>15</v>
      </c>
      <c r="H24" s="3" t="s">
        <v>21</v>
      </c>
      <c r="I24" s="3">
        <v>8</v>
      </c>
      <c r="J24" s="3">
        <v>409.54</v>
      </c>
      <c r="K24" s="3">
        <v>2333.98</v>
      </c>
      <c r="L24" s="7">
        <f t="shared" si="0"/>
        <v>3276.32</v>
      </c>
      <c r="M24" s="7">
        <f t="shared" si="1"/>
        <v>942.34000000000015</v>
      </c>
      <c r="N24" t="str">
        <f t="shared" si="2"/>
        <v>High</v>
      </c>
    </row>
    <row r="25" spans="1:14" x14ac:dyDescent="0.3">
      <c r="A25" s="4">
        <v>46065</v>
      </c>
      <c r="B25" s="5">
        <v>2026</v>
      </c>
      <c r="C25" s="5" t="s">
        <v>71</v>
      </c>
      <c r="D25" s="5" t="s">
        <v>72</v>
      </c>
      <c r="E25" s="5" t="s">
        <v>13</v>
      </c>
      <c r="F25" s="5" t="s">
        <v>14</v>
      </c>
      <c r="G25" s="5" t="s">
        <v>15</v>
      </c>
      <c r="H25" s="5" t="s">
        <v>21</v>
      </c>
      <c r="I25" s="5">
        <v>5</v>
      </c>
      <c r="J25" s="5">
        <v>239.73</v>
      </c>
      <c r="K25" s="5">
        <v>864.19</v>
      </c>
      <c r="L25" s="7">
        <f t="shared" si="0"/>
        <v>1198.6499999999999</v>
      </c>
      <c r="M25" s="7">
        <f t="shared" si="1"/>
        <v>334.45999999999981</v>
      </c>
      <c r="N25" t="str">
        <f t="shared" si="2"/>
        <v>Low</v>
      </c>
    </row>
    <row r="26" spans="1:14" x14ac:dyDescent="0.3">
      <c r="A26" s="2">
        <v>46160</v>
      </c>
      <c r="B26" s="3">
        <v>2026</v>
      </c>
      <c r="C26" s="3" t="s">
        <v>61</v>
      </c>
      <c r="D26" s="3" t="s">
        <v>73</v>
      </c>
      <c r="E26" s="3" t="s">
        <v>35</v>
      </c>
      <c r="F26" s="3" t="s">
        <v>36</v>
      </c>
      <c r="G26" s="3" t="s">
        <v>15</v>
      </c>
      <c r="H26" s="3" t="s">
        <v>21</v>
      </c>
      <c r="I26" s="3">
        <v>11</v>
      </c>
      <c r="J26" s="3">
        <v>286.08</v>
      </c>
      <c r="K26" s="3">
        <v>2238.17</v>
      </c>
      <c r="L26" s="7">
        <f t="shared" si="0"/>
        <v>3146.8799999999997</v>
      </c>
      <c r="M26" s="7">
        <f t="shared" si="1"/>
        <v>908.70999999999958</v>
      </c>
      <c r="N26" t="str">
        <f t="shared" si="2"/>
        <v>High</v>
      </c>
    </row>
    <row r="27" spans="1:14" x14ac:dyDescent="0.3">
      <c r="A27" s="4">
        <v>46290</v>
      </c>
      <c r="B27" s="5">
        <v>2026</v>
      </c>
      <c r="C27" s="5" t="s">
        <v>74</v>
      </c>
      <c r="D27" s="5" t="s">
        <v>75</v>
      </c>
      <c r="E27" s="5" t="s">
        <v>42</v>
      </c>
      <c r="F27" s="5" t="s">
        <v>43</v>
      </c>
      <c r="G27" s="5" t="s">
        <v>15</v>
      </c>
      <c r="H27" s="5" t="s">
        <v>28</v>
      </c>
      <c r="I27" s="5">
        <v>15</v>
      </c>
      <c r="J27" s="5">
        <v>247.77</v>
      </c>
      <c r="K27" s="5">
        <v>2386.1999999999998</v>
      </c>
      <c r="L27" s="7">
        <f t="shared" si="0"/>
        <v>3716.55</v>
      </c>
      <c r="M27" s="7">
        <f t="shared" si="1"/>
        <v>1330.3500000000004</v>
      </c>
      <c r="N27" t="str">
        <f t="shared" si="2"/>
        <v>High</v>
      </c>
    </row>
    <row r="28" spans="1:14" x14ac:dyDescent="0.3">
      <c r="A28" s="2">
        <v>46187</v>
      </c>
      <c r="B28" s="3">
        <v>2026</v>
      </c>
      <c r="C28" s="3" t="s">
        <v>76</v>
      </c>
      <c r="D28" s="3" t="s">
        <v>77</v>
      </c>
      <c r="E28" s="3" t="s">
        <v>31</v>
      </c>
      <c r="F28" s="3" t="s">
        <v>32</v>
      </c>
      <c r="G28" s="3" t="s">
        <v>15</v>
      </c>
      <c r="H28" s="3" t="s">
        <v>16</v>
      </c>
      <c r="I28" s="3">
        <v>3</v>
      </c>
      <c r="J28" s="3">
        <v>435.35</v>
      </c>
      <c r="K28" s="3">
        <v>988.81</v>
      </c>
      <c r="L28" s="7">
        <f t="shared" si="0"/>
        <v>1306.0500000000002</v>
      </c>
      <c r="M28" s="7">
        <f t="shared" si="1"/>
        <v>317.24000000000024</v>
      </c>
      <c r="N28" t="str">
        <f t="shared" si="2"/>
        <v>Low</v>
      </c>
    </row>
    <row r="29" spans="1:14" x14ac:dyDescent="0.3">
      <c r="A29" s="4">
        <v>46264</v>
      </c>
      <c r="B29" s="5">
        <v>2026</v>
      </c>
      <c r="C29" s="5" t="s">
        <v>78</v>
      </c>
      <c r="D29" s="5" t="s">
        <v>79</v>
      </c>
      <c r="E29" s="5" t="s">
        <v>35</v>
      </c>
      <c r="F29" s="5" t="s">
        <v>36</v>
      </c>
      <c r="G29" s="5" t="s">
        <v>15</v>
      </c>
      <c r="H29" s="5" t="s">
        <v>39</v>
      </c>
      <c r="I29" s="5">
        <v>6</v>
      </c>
      <c r="J29" s="5">
        <v>253.73</v>
      </c>
      <c r="K29" s="5">
        <v>853.37</v>
      </c>
      <c r="L29" s="7">
        <f t="shared" si="0"/>
        <v>1522.3799999999999</v>
      </c>
      <c r="M29" s="7">
        <f t="shared" si="1"/>
        <v>669.00999999999988</v>
      </c>
      <c r="N29" t="str">
        <f t="shared" si="2"/>
        <v>Medium</v>
      </c>
    </row>
    <row r="30" spans="1:14" x14ac:dyDescent="0.3">
      <c r="A30" s="2">
        <v>46282</v>
      </c>
      <c r="B30" s="3">
        <v>2026</v>
      </c>
      <c r="C30" s="3" t="s">
        <v>80</v>
      </c>
      <c r="D30" s="3" t="s">
        <v>81</v>
      </c>
      <c r="E30" s="3" t="s">
        <v>31</v>
      </c>
      <c r="F30" s="3" t="s">
        <v>32</v>
      </c>
      <c r="G30" s="3" t="s">
        <v>15</v>
      </c>
      <c r="H30" s="3" t="s">
        <v>28</v>
      </c>
      <c r="I30" s="3">
        <v>12</v>
      </c>
      <c r="J30" s="3">
        <v>302.52999999999997</v>
      </c>
      <c r="K30" s="3">
        <v>2714.93</v>
      </c>
      <c r="L30" s="7">
        <f t="shared" si="0"/>
        <v>3630.3599999999997</v>
      </c>
      <c r="M30" s="7">
        <f t="shared" si="1"/>
        <v>915.42999999999984</v>
      </c>
      <c r="N30" t="str">
        <f t="shared" si="2"/>
        <v>High</v>
      </c>
    </row>
    <row r="31" spans="1:14" x14ac:dyDescent="0.3">
      <c r="A31" s="4">
        <v>46194</v>
      </c>
      <c r="B31" s="5">
        <v>2026</v>
      </c>
      <c r="C31" s="5" t="s">
        <v>82</v>
      </c>
      <c r="D31" s="5" t="s">
        <v>83</v>
      </c>
      <c r="E31" s="5" t="s">
        <v>35</v>
      </c>
      <c r="F31" s="5" t="s">
        <v>36</v>
      </c>
      <c r="G31" s="5" t="s">
        <v>15</v>
      </c>
      <c r="H31" s="5" t="s">
        <v>28</v>
      </c>
      <c r="I31" s="5">
        <v>3</v>
      </c>
      <c r="J31" s="5">
        <v>391.07</v>
      </c>
      <c r="K31" s="5">
        <v>934.36</v>
      </c>
      <c r="L31" s="7">
        <f t="shared" si="0"/>
        <v>1173.21</v>
      </c>
      <c r="M31" s="7">
        <f t="shared" si="1"/>
        <v>238.85000000000002</v>
      </c>
      <c r="N31" t="str">
        <f t="shared" si="2"/>
        <v>Low</v>
      </c>
    </row>
    <row r="32" spans="1:14" x14ac:dyDescent="0.3">
      <c r="A32" s="2">
        <v>46210</v>
      </c>
      <c r="B32" s="3">
        <v>2026</v>
      </c>
      <c r="C32" s="3" t="s">
        <v>84</v>
      </c>
      <c r="D32" s="3" t="s">
        <v>85</v>
      </c>
      <c r="E32" s="3" t="s">
        <v>31</v>
      </c>
      <c r="F32" s="3" t="s">
        <v>32</v>
      </c>
      <c r="G32" s="3" t="s">
        <v>15</v>
      </c>
      <c r="H32" s="3" t="s">
        <v>16</v>
      </c>
      <c r="I32" s="3">
        <v>7</v>
      </c>
      <c r="J32" s="3">
        <v>30.89</v>
      </c>
      <c r="K32" s="3">
        <v>143.11000000000001</v>
      </c>
      <c r="L32" s="7">
        <f t="shared" si="0"/>
        <v>216.23000000000002</v>
      </c>
      <c r="M32" s="7">
        <f t="shared" si="1"/>
        <v>73.12</v>
      </c>
      <c r="N32" t="str">
        <f t="shared" si="2"/>
        <v>Low</v>
      </c>
    </row>
    <row r="33" spans="1:14" x14ac:dyDescent="0.3">
      <c r="A33" s="4">
        <v>46058</v>
      </c>
      <c r="B33" s="5">
        <v>2026</v>
      </c>
      <c r="C33" s="5" t="s">
        <v>86</v>
      </c>
      <c r="D33" s="5" t="s">
        <v>87</v>
      </c>
      <c r="E33" s="5" t="s">
        <v>26</v>
      </c>
      <c r="F33" s="5" t="s">
        <v>27</v>
      </c>
      <c r="G33" s="5" t="s">
        <v>15</v>
      </c>
      <c r="H33" s="5" t="s">
        <v>21</v>
      </c>
      <c r="I33" s="5">
        <v>11</v>
      </c>
      <c r="J33" s="5">
        <v>201.22</v>
      </c>
      <c r="K33" s="5">
        <v>1682.68</v>
      </c>
      <c r="L33" s="7">
        <f t="shared" si="0"/>
        <v>2213.42</v>
      </c>
      <c r="M33" s="7">
        <f t="shared" si="1"/>
        <v>530.74</v>
      </c>
      <c r="N33" t="str">
        <f t="shared" si="2"/>
        <v>Medium</v>
      </c>
    </row>
    <row r="34" spans="1:14" x14ac:dyDescent="0.3">
      <c r="A34" s="2">
        <v>46158</v>
      </c>
      <c r="B34" s="3">
        <v>2026</v>
      </c>
      <c r="C34" s="3" t="s">
        <v>40</v>
      </c>
      <c r="D34" s="3" t="s">
        <v>88</v>
      </c>
      <c r="E34" s="3" t="s">
        <v>13</v>
      </c>
      <c r="F34" s="3" t="s">
        <v>14</v>
      </c>
      <c r="G34" s="3" t="s">
        <v>15</v>
      </c>
      <c r="H34" s="3" t="s">
        <v>16</v>
      </c>
      <c r="I34" s="3">
        <v>6</v>
      </c>
      <c r="J34" s="3">
        <v>397.6</v>
      </c>
      <c r="K34" s="3">
        <v>1332.3</v>
      </c>
      <c r="L34" s="7">
        <f t="shared" si="0"/>
        <v>2385.6000000000004</v>
      </c>
      <c r="M34" s="7">
        <f t="shared" si="1"/>
        <v>1053.3000000000004</v>
      </c>
      <c r="N34" t="str">
        <f t="shared" si="2"/>
        <v>Medium</v>
      </c>
    </row>
    <row r="35" spans="1:14" x14ac:dyDescent="0.3">
      <c r="A35" s="4">
        <v>46237</v>
      </c>
      <c r="B35" s="5">
        <v>2026</v>
      </c>
      <c r="C35" s="5" t="s">
        <v>89</v>
      </c>
      <c r="D35" s="5" t="s">
        <v>90</v>
      </c>
      <c r="E35" s="5" t="s">
        <v>42</v>
      </c>
      <c r="F35" s="5" t="s">
        <v>43</v>
      </c>
      <c r="G35" s="5" t="s">
        <v>15</v>
      </c>
      <c r="H35" s="5" t="s">
        <v>21</v>
      </c>
      <c r="I35" s="5">
        <v>15</v>
      </c>
      <c r="J35" s="5">
        <v>256.43</v>
      </c>
      <c r="K35" s="5">
        <v>3201.67</v>
      </c>
      <c r="L35" s="7">
        <f t="shared" si="0"/>
        <v>3846.4500000000003</v>
      </c>
      <c r="M35" s="7">
        <f t="shared" si="1"/>
        <v>644.7800000000002</v>
      </c>
      <c r="N35" t="str">
        <f t="shared" si="2"/>
        <v>High</v>
      </c>
    </row>
    <row r="36" spans="1:14" x14ac:dyDescent="0.3">
      <c r="A36" s="2">
        <v>46242</v>
      </c>
      <c r="B36" s="3">
        <v>2026</v>
      </c>
      <c r="C36" s="3" t="s">
        <v>84</v>
      </c>
      <c r="D36" s="3" t="s">
        <v>91</v>
      </c>
      <c r="E36" s="3" t="s">
        <v>19</v>
      </c>
      <c r="F36" s="3" t="s">
        <v>20</v>
      </c>
      <c r="G36" s="3" t="s">
        <v>15</v>
      </c>
      <c r="H36" s="3" t="s">
        <v>39</v>
      </c>
      <c r="I36" s="3">
        <v>17</v>
      </c>
      <c r="J36" s="3">
        <v>227.68</v>
      </c>
      <c r="K36" s="3">
        <v>2534.66</v>
      </c>
      <c r="L36" s="7">
        <f t="shared" si="0"/>
        <v>3870.56</v>
      </c>
      <c r="M36" s="7">
        <f t="shared" si="1"/>
        <v>1335.9</v>
      </c>
      <c r="N36" t="str">
        <f t="shared" si="2"/>
        <v>High</v>
      </c>
    </row>
    <row r="37" spans="1:14" x14ac:dyDescent="0.3">
      <c r="A37" s="4">
        <v>46369</v>
      </c>
      <c r="B37" s="5">
        <v>2026</v>
      </c>
      <c r="C37" s="5" t="s">
        <v>92</v>
      </c>
      <c r="D37" s="5" t="s">
        <v>93</v>
      </c>
      <c r="E37" s="5" t="s">
        <v>64</v>
      </c>
      <c r="F37" s="5" t="s">
        <v>65</v>
      </c>
      <c r="G37" s="5" t="s">
        <v>15</v>
      </c>
      <c r="H37" s="5" t="s">
        <v>28</v>
      </c>
      <c r="I37" s="5">
        <v>13</v>
      </c>
      <c r="J37" s="5">
        <v>108.9</v>
      </c>
      <c r="K37" s="5">
        <v>980.69</v>
      </c>
      <c r="L37" s="7">
        <f t="shared" si="0"/>
        <v>1415.7</v>
      </c>
      <c r="M37" s="7">
        <f t="shared" si="1"/>
        <v>435.01</v>
      </c>
      <c r="N37" t="str">
        <f t="shared" si="2"/>
        <v>Low</v>
      </c>
    </row>
    <row r="38" spans="1:14" x14ac:dyDescent="0.3">
      <c r="A38" s="2">
        <v>46170</v>
      </c>
      <c r="B38" s="3">
        <v>2026</v>
      </c>
      <c r="C38" s="3" t="s">
        <v>94</v>
      </c>
      <c r="D38" s="3" t="s">
        <v>95</v>
      </c>
      <c r="E38" s="3" t="s">
        <v>26</v>
      </c>
      <c r="F38" s="3" t="s">
        <v>27</v>
      </c>
      <c r="G38" s="3" t="s">
        <v>15</v>
      </c>
      <c r="H38" s="3" t="s">
        <v>28</v>
      </c>
      <c r="I38" s="3">
        <v>12</v>
      </c>
      <c r="J38" s="3">
        <v>322.32</v>
      </c>
      <c r="K38" s="3">
        <v>2733.81</v>
      </c>
      <c r="L38" s="7">
        <f t="shared" si="0"/>
        <v>3867.84</v>
      </c>
      <c r="M38" s="7">
        <f t="shared" si="1"/>
        <v>1134.0300000000002</v>
      </c>
      <c r="N38" t="str">
        <f t="shared" si="2"/>
        <v>High</v>
      </c>
    </row>
    <row r="39" spans="1:14" x14ac:dyDescent="0.3">
      <c r="A39" s="4">
        <v>46271</v>
      </c>
      <c r="B39" s="5">
        <v>2026</v>
      </c>
      <c r="C39" s="5" t="s">
        <v>96</v>
      </c>
      <c r="D39" s="5" t="s">
        <v>97</v>
      </c>
      <c r="E39" s="5" t="s">
        <v>35</v>
      </c>
      <c r="F39" s="5" t="s">
        <v>36</v>
      </c>
      <c r="G39" s="5" t="s">
        <v>15</v>
      </c>
      <c r="H39" s="5" t="s">
        <v>21</v>
      </c>
      <c r="I39" s="5">
        <v>17</v>
      </c>
      <c r="J39" s="5">
        <v>242.35</v>
      </c>
      <c r="K39" s="5">
        <v>2899.06</v>
      </c>
      <c r="L39" s="7">
        <f t="shared" si="0"/>
        <v>4119.95</v>
      </c>
      <c r="M39" s="7">
        <f t="shared" si="1"/>
        <v>1220.8899999999999</v>
      </c>
      <c r="N39" t="str">
        <f t="shared" si="2"/>
        <v>High</v>
      </c>
    </row>
    <row r="40" spans="1:14" x14ac:dyDescent="0.3">
      <c r="A40" s="2">
        <v>46072</v>
      </c>
      <c r="B40" s="3">
        <v>2026</v>
      </c>
      <c r="C40" s="3" t="s">
        <v>98</v>
      </c>
      <c r="D40" s="3" t="s">
        <v>99</v>
      </c>
      <c r="E40" s="3" t="s">
        <v>64</v>
      </c>
      <c r="F40" s="3" t="s">
        <v>65</v>
      </c>
      <c r="G40" s="3" t="s">
        <v>15</v>
      </c>
      <c r="H40" s="3" t="s">
        <v>39</v>
      </c>
      <c r="I40" s="3">
        <v>13</v>
      </c>
      <c r="J40" s="3">
        <v>346.41</v>
      </c>
      <c r="K40" s="3">
        <v>2977.38</v>
      </c>
      <c r="L40" s="7">
        <f t="shared" si="0"/>
        <v>4503.33</v>
      </c>
      <c r="M40" s="7">
        <f t="shared" si="1"/>
        <v>1525.9499999999998</v>
      </c>
      <c r="N40" t="str">
        <f t="shared" si="2"/>
        <v>High</v>
      </c>
    </row>
    <row r="41" spans="1:14" x14ac:dyDescent="0.3">
      <c r="A41" s="4">
        <v>46131</v>
      </c>
      <c r="B41" s="5">
        <v>2026</v>
      </c>
      <c r="C41" s="5" t="s">
        <v>100</v>
      </c>
      <c r="D41" s="5" t="s">
        <v>101</v>
      </c>
      <c r="E41" s="5" t="s">
        <v>35</v>
      </c>
      <c r="F41" s="5" t="s">
        <v>36</v>
      </c>
      <c r="G41" s="5" t="s">
        <v>15</v>
      </c>
      <c r="H41" s="5" t="s">
        <v>16</v>
      </c>
      <c r="I41" s="5">
        <v>10</v>
      </c>
      <c r="J41" s="5">
        <v>478.47</v>
      </c>
      <c r="K41" s="5">
        <v>2850.86</v>
      </c>
      <c r="L41" s="7">
        <f t="shared" si="0"/>
        <v>4784.7000000000007</v>
      </c>
      <c r="M41" s="7">
        <f t="shared" si="1"/>
        <v>1933.8400000000006</v>
      </c>
      <c r="N41" t="str">
        <f t="shared" si="2"/>
        <v>High</v>
      </c>
    </row>
    <row r="42" spans="1:14" x14ac:dyDescent="0.3">
      <c r="A42" s="2">
        <v>46106</v>
      </c>
      <c r="B42" s="3">
        <v>2026</v>
      </c>
      <c r="C42" s="3" t="s">
        <v>102</v>
      </c>
      <c r="D42" s="3" t="s">
        <v>103</v>
      </c>
      <c r="E42" s="3" t="s">
        <v>64</v>
      </c>
      <c r="F42" s="3" t="s">
        <v>65</v>
      </c>
      <c r="G42" s="3" t="s">
        <v>15</v>
      </c>
      <c r="H42" s="3" t="s">
        <v>21</v>
      </c>
      <c r="I42" s="3">
        <v>1</v>
      </c>
      <c r="J42" s="3">
        <v>412.77</v>
      </c>
      <c r="K42" s="3">
        <v>265.69</v>
      </c>
      <c r="L42" s="7">
        <f t="shared" si="0"/>
        <v>412.77</v>
      </c>
      <c r="M42" s="7">
        <f t="shared" si="1"/>
        <v>147.07999999999998</v>
      </c>
      <c r="N42" t="str">
        <f t="shared" si="2"/>
        <v>Low</v>
      </c>
    </row>
    <row r="43" spans="1:14" x14ac:dyDescent="0.3">
      <c r="A43" s="4">
        <v>46144</v>
      </c>
      <c r="B43" s="5">
        <v>2026</v>
      </c>
      <c r="C43" s="5" t="s">
        <v>104</v>
      </c>
      <c r="D43" s="5" t="s">
        <v>81</v>
      </c>
      <c r="E43" s="5" t="s">
        <v>64</v>
      </c>
      <c r="F43" s="5" t="s">
        <v>65</v>
      </c>
      <c r="G43" s="5" t="s">
        <v>15</v>
      </c>
      <c r="H43" s="5" t="s">
        <v>28</v>
      </c>
      <c r="I43" s="5">
        <v>13</v>
      </c>
      <c r="J43" s="5">
        <v>379.63</v>
      </c>
      <c r="K43" s="5">
        <v>3950.52</v>
      </c>
      <c r="L43" s="7">
        <f t="shared" si="0"/>
        <v>4935.1899999999996</v>
      </c>
      <c r="M43" s="7">
        <f t="shared" si="1"/>
        <v>984.66999999999962</v>
      </c>
      <c r="N43" t="str">
        <f t="shared" si="2"/>
        <v>High</v>
      </c>
    </row>
    <row r="44" spans="1:14" x14ac:dyDescent="0.3">
      <c r="A44" s="2">
        <v>46122</v>
      </c>
      <c r="B44" s="3">
        <v>2026</v>
      </c>
      <c r="C44" s="3" t="s">
        <v>94</v>
      </c>
      <c r="D44" s="3" t="s">
        <v>105</v>
      </c>
      <c r="E44" s="3" t="s">
        <v>35</v>
      </c>
      <c r="F44" s="3" t="s">
        <v>36</v>
      </c>
      <c r="G44" s="3" t="s">
        <v>15</v>
      </c>
      <c r="H44" s="3" t="s">
        <v>16</v>
      </c>
      <c r="I44" s="3">
        <v>8</v>
      </c>
      <c r="J44" s="3">
        <v>407.55</v>
      </c>
      <c r="K44" s="3">
        <v>1955.54</v>
      </c>
      <c r="L44" s="7">
        <f t="shared" si="0"/>
        <v>3260.4</v>
      </c>
      <c r="M44" s="7">
        <f t="shared" si="1"/>
        <v>1304.8600000000001</v>
      </c>
      <c r="N44" t="str">
        <f t="shared" si="2"/>
        <v>High</v>
      </c>
    </row>
    <row r="45" spans="1:14" x14ac:dyDescent="0.3">
      <c r="A45" s="4">
        <v>46370</v>
      </c>
      <c r="B45" s="5">
        <v>2026</v>
      </c>
      <c r="C45" s="5" t="s">
        <v>106</v>
      </c>
      <c r="D45" s="5" t="s">
        <v>107</v>
      </c>
      <c r="E45" s="5" t="s">
        <v>64</v>
      </c>
      <c r="F45" s="5" t="s">
        <v>65</v>
      </c>
      <c r="G45" s="5" t="s">
        <v>15</v>
      </c>
      <c r="H45" s="5" t="s">
        <v>16</v>
      </c>
      <c r="I45" s="5">
        <v>15</v>
      </c>
      <c r="J45" s="5">
        <v>323.7</v>
      </c>
      <c r="K45" s="5">
        <v>2883.48</v>
      </c>
      <c r="L45" s="7">
        <f t="shared" si="0"/>
        <v>4855.5</v>
      </c>
      <c r="M45" s="7">
        <f t="shared" si="1"/>
        <v>1972.02</v>
      </c>
      <c r="N45" t="str">
        <f t="shared" si="2"/>
        <v>High</v>
      </c>
    </row>
    <row r="46" spans="1:14" x14ac:dyDescent="0.3">
      <c r="A46" s="2">
        <v>46310</v>
      </c>
      <c r="B46" s="3">
        <v>2026</v>
      </c>
      <c r="C46" s="3" t="s">
        <v>108</v>
      </c>
      <c r="D46" s="3" t="s">
        <v>109</v>
      </c>
      <c r="E46" s="3" t="s">
        <v>64</v>
      </c>
      <c r="F46" s="3" t="s">
        <v>65</v>
      </c>
      <c r="G46" s="3" t="s">
        <v>15</v>
      </c>
      <c r="H46" s="3" t="s">
        <v>16</v>
      </c>
      <c r="I46" s="3">
        <v>17</v>
      </c>
      <c r="J46" s="3">
        <v>20.350000000000001</v>
      </c>
      <c r="K46" s="3">
        <v>247.25</v>
      </c>
      <c r="L46" s="7">
        <f t="shared" si="0"/>
        <v>345.95000000000005</v>
      </c>
      <c r="M46" s="7">
        <f t="shared" si="1"/>
        <v>98.700000000000045</v>
      </c>
      <c r="N46" t="str">
        <f t="shared" si="2"/>
        <v>Low</v>
      </c>
    </row>
    <row r="47" spans="1:14" x14ac:dyDescent="0.3">
      <c r="A47" s="4">
        <v>46381</v>
      </c>
      <c r="B47" s="5">
        <v>2026</v>
      </c>
      <c r="C47" s="5" t="s">
        <v>110</v>
      </c>
      <c r="D47" s="5" t="s">
        <v>111</v>
      </c>
      <c r="E47" s="5" t="s">
        <v>26</v>
      </c>
      <c r="F47" s="5" t="s">
        <v>27</v>
      </c>
      <c r="G47" s="5" t="s">
        <v>15</v>
      </c>
      <c r="H47" s="5" t="s">
        <v>21</v>
      </c>
      <c r="I47" s="5">
        <v>5</v>
      </c>
      <c r="J47" s="5">
        <v>224.07</v>
      </c>
      <c r="K47" s="5">
        <v>621.99</v>
      </c>
      <c r="L47" s="7">
        <f t="shared" si="0"/>
        <v>1120.3499999999999</v>
      </c>
      <c r="M47" s="7">
        <f t="shared" si="1"/>
        <v>498.3599999999999</v>
      </c>
      <c r="N47" t="str">
        <f t="shared" si="2"/>
        <v>Low</v>
      </c>
    </row>
    <row r="48" spans="1:14" x14ac:dyDescent="0.3">
      <c r="A48" s="2">
        <v>46224</v>
      </c>
      <c r="B48" s="3">
        <v>2026</v>
      </c>
      <c r="C48" s="3" t="s">
        <v>112</v>
      </c>
      <c r="D48" s="3" t="s">
        <v>113</v>
      </c>
      <c r="E48" s="3" t="s">
        <v>35</v>
      </c>
      <c r="F48" s="3" t="s">
        <v>36</v>
      </c>
      <c r="G48" s="3" t="s">
        <v>15</v>
      </c>
      <c r="H48" s="3" t="s">
        <v>16</v>
      </c>
      <c r="I48" s="3">
        <v>15</v>
      </c>
      <c r="J48" s="3">
        <v>150.84</v>
      </c>
      <c r="K48" s="3">
        <v>1615.99</v>
      </c>
      <c r="L48" s="7">
        <f t="shared" si="0"/>
        <v>2262.6</v>
      </c>
      <c r="M48" s="7">
        <f t="shared" si="1"/>
        <v>646.6099999999999</v>
      </c>
      <c r="N48" t="str">
        <f t="shared" si="2"/>
        <v>Medium</v>
      </c>
    </row>
    <row r="49" spans="1:14" x14ac:dyDescent="0.3">
      <c r="A49" s="4">
        <v>46082</v>
      </c>
      <c r="B49" s="5">
        <v>2026</v>
      </c>
      <c r="C49" s="5" t="s">
        <v>102</v>
      </c>
      <c r="D49" s="5" t="s">
        <v>114</v>
      </c>
      <c r="E49" s="5" t="s">
        <v>31</v>
      </c>
      <c r="F49" s="5" t="s">
        <v>32</v>
      </c>
      <c r="G49" s="5" t="s">
        <v>15</v>
      </c>
      <c r="H49" s="5" t="s">
        <v>39</v>
      </c>
      <c r="I49" s="5">
        <v>10</v>
      </c>
      <c r="J49" s="5">
        <v>73.599999999999994</v>
      </c>
      <c r="K49" s="5">
        <v>504.78</v>
      </c>
      <c r="L49" s="7">
        <f t="shared" si="0"/>
        <v>736</v>
      </c>
      <c r="M49" s="7">
        <f t="shared" si="1"/>
        <v>231.22000000000003</v>
      </c>
      <c r="N49" t="str">
        <f t="shared" si="2"/>
        <v>Low</v>
      </c>
    </row>
    <row r="50" spans="1:14" x14ac:dyDescent="0.3">
      <c r="A50" s="2">
        <v>46072</v>
      </c>
      <c r="B50" s="3">
        <v>2026</v>
      </c>
      <c r="C50" s="3" t="s">
        <v>115</v>
      </c>
      <c r="D50" s="3" t="s">
        <v>116</v>
      </c>
      <c r="E50" s="3" t="s">
        <v>19</v>
      </c>
      <c r="F50" s="3" t="s">
        <v>20</v>
      </c>
      <c r="G50" s="3" t="s">
        <v>15</v>
      </c>
      <c r="H50" s="3" t="s">
        <v>16</v>
      </c>
      <c r="I50" s="3">
        <v>8</v>
      </c>
      <c r="J50" s="3">
        <v>296.11</v>
      </c>
      <c r="K50" s="3">
        <v>1932.97</v>
      </c>
      <c r="L50" s="7">
        <f t="shared" si="0"/>
        <v>2368.88</v>
      </c>
      <c r="M50" s="7">
        <f t="shared" si="1"/>
        <v>435.91000000000008</v>
      </c>
      <c r="N50" t="str">
        <f t="shared" si="2"/>
        <v>Medium</v>
      </c>
    </row>
    <row r="51" spans="1:14" x14ac:dyDescent="0.3">
      <c r="A51" s="4">
        <v>46211</v>
      </c>
      <c r="B51" s="5">
        <v>2026</v>
      </c>
      <c r="C51" s="5" t="s">
        <v>102</v>
      </c>
      <c r="D51" s="5" t="s">
        <v>117</v>
      </c>
      <c r="E51" s="5" t="s">
        <v>118</v>
      </c>
      <c r="F51" s="5" t="s">
        <v>119</v>
      </c>
      <c r="G51" s="5" t="s">
        <v>120</v>
      </c>
      <c r="H51" s="5" t="s">
        <v>28</v>
      </c>
      <c r="I51" s="5">
        <v>9</v>
      </c>
      <c r="J51" s="5">
        <v>247.66</v>
      </c>
      <c r="K51" s="5">
        <v>1320.15</v>
      </c>
      <c r="L51" s="7">
        <f t="shared" si="0"/>
        <v>2228.94</v>
      </c>
      <c r="M51" s="7">
        <f t="shared" si="1"/>
        <v>908.79</v>
      </c>
      <c r="N51" t="str">
        <f t="shared" si="2"/>
        <v>Medium</v>
      </c>
    </row>
    <row r="52" spans="1:14" x14ac:dyDescent="0.3">
      <c r="A52" s="2">
        <v>46027</v>
      </c>
      <c r="B52" s="3">
        <v>2026</v>
      </c>
      <c r="C52" s="3" t="s">
        <v>121</v>
      </c>
      <c r="D52" s="3" t="s">
        <v>122</v>
      </c>
      <c r="E52" s="3" t="s">
        <v>123</v>
      </c>
      <c r="F52" s="3" t="s">
        <v>124</v>
      </c>
      <c r="G52" s="3" t="s">
        <v>120</v>
      </c>
      <c r="H52" s="3" t="s">
        <v>16</v>
      </c>
      <c r="I52" s="3">
        <v>7</v>
      </c>
      <c r="J52" s="3">
        <v>378.96</v>
      </c>
      <c r="K52" s="3">
        <v>1807.54</v>
      </c>
      <c r="L52" s="7">
        <f t="shared" si="0"/>
        <v>2652.72</v>
      </c>
      <c r="M52" s="7">
        <f t="shared" si="1"/>
        <v>845.17999999999984</v>
      </c>
      <c r="N52" t="str">
        <f t="shared" si="2"/>
        <v>Medium</v>
      </c>
    </row>
    <row r="53" spans="1:14" x14ac:dyDescent="0.3">
      <c r="A53" s="4">
        <v>46085</v>
      </c>
      <c r="B53" s="5">
        <v>2026</v>
      </c>
      <c r="C53" s="5" t="s">
        <v>125</v>
      </c>
      <c r="D53" s="5" t="s">
        <v>126</v>
      </c>
      <c r="E53" s="5" t="s">
        <v>127</v>
      </c>
      <c r="F53" s="5" t="s">
        <v>128</v>
      </c>
      <c r="G53" s="5" t="s">
        <v>120</v>
      </c>
      <c r="H53" s="5" t="s">
        <v>16</v>
      </c>
      <c r="I53" s="5">
        <v>17</v>
      </c>
      <c r="J53" s="5">
        <v>206.03</v>
      </c>
      <c r="K53" s="5">
        <v>2472.84</v>
      </c>
      <c r="L53" s="7">
        <f t="shared" si="0"/>
        <v>3502.51</v>
      </c>
      <c r="M53" s="7">
        <f t="shared" si="1"/>
        <v>1029.67</v>
      </c>
      <c r="N53" t="str">
        <f t="shared" si="2"/>
        <v>High</v>
      </c>
    </row>
    <row r="54" spans="1:14" x14ac:dyDescent="0.3">
      <c r="A54" s="2">
        <v>46233</v>
      </c>
      <c r="B54" s="3">
        <v>2026</v>
      </c>
      <c r="C54" s="3" t="s">
        <v>98</v>
      </c>
      <c r="D54" s="3" t="s">
        <v>129</v>
      </c>
      <c r="E54" s="3" t="s">
        <v>130</v>
      </c>
      <c r="F54" s="3" t="s">
        <v>131</v>
      </c>
      <c r="G54" s="3" t="s">
        <v>120</v>
      </c>
      <c r="H54" s="3" t="s">
        <v>39</v>
      </c>
      <c r="I54" s="3">
        <v>20</v>
      </c>
      <c r="J54" s="3">
        <v>69.069999999999993</v>
      </c>
      <c r="K54" s="3">
        <v>989.77</v>
      </c>
      <c r="L54" s="7">
        <f t="shared" si="0"/>
        <v>1381.3999999999999</v>
      </c>
      <c r="M54" s="7">
        <f t="shared" si="1"/>
        <v>391.62999999999988</v>
      </c>
      <c r="N54" t="str">
        <f t="shared" si="2"/>
        <v>Low</v>
      </c>
    </row>
    <row r="55" spans="1:14" x14ac:dyDescent="0.3">
      <c r="A55" s="4">
        <v>46360</v>
      </c>
      <c r="B55" s="5">
        <v>2026</v>
      </c>
      <c r="C55" s="5" t="s">
        <v>132</v>
      </c>
      <c r="D55" s="5" t="s">
        <v>88</v>
      </c>
      <c r="E55" s="5" t="s">
        <v>133</v>
      </c>
      <c r="F55" s="5" t="s">
        <v>134</v>
      </c>
      <c r="G55" s="5" t="s">
        <v>120</v>
      </c>
      <c r="H55" s="5" t="s">
        <v>39</v>
      </c>
      <c r="I55" s="5">
        <v>15</v>
      </c>
      <c r="J55" s="5">
        <v>308.27999999999997</v>
      </c>
      <c r="K55" s="5">
        <v>3246.51</v>
      </c>
      <c r="L55" s="7">
        <f t="shared" si="0"/>
        <v>4624.2</v>
      </c>
      <c r="M55" s="7">
        <f t="shared" si="1"/>
        <v>1377.6899999999996</v>
      </c>
      <c r="N55" t="str">
        <f t="shared" si="2"/>
        <v>High</v>
      </c>
    </row>
    <row r="56" spans="1:14" x14ac:dyDescent="0.3">
      <c r="A56" s="2">
        <v>46258</v>
      </c>
      <c r="B56" s="3">
        <v>2026</v>
      </c>
      <c r="C56" s="3" t="s">
        <v>70</v>
      </c>
      <c r="D56" s="3" t="s">
        <v>135</v>
      </c>
      <c r="E56" s="3" t="s">
        <v>136</v>
      </c>
      <c r="F56" s="3" t="s">
        <v>137</v>
      </c>
      <c r="G56" s="3" t="s">
        <v>120</v>
      </c>
      <c r="H56" s="3" t="s">
        <v>21</v>
      </c>
      <c r="I56" s="3">
        <v>11</v>
      </c>
      <c r="J56" s="3">
        <v>43.42</v>
      </c>
      <c r="K56" s="3">
        <v>385.22</v>
      </c>
      <c r="L56" s="7">
        <f t="shared" si="0"/>
        <v>477.62</v>
      </c>
      <c r="M56" s="7">
        <f t="shared" si="1"/>
        <v>92.399999999999977</v>
      </c>
      <c r="N56" t="str">
        <f t="shared" si="2"/>
        <v>Low</v>
      </c>
    </row>
    <row r="57" spans="1:14" x14ac:dyDescent="0.3">
      <c r="A57" s="4">
        <v>46052</v>
      </c>
      <c r="B57" s="5">
        <v>2026</v>
      </c>
      <c r="C57" s="5" t="s">
        <v>132</v>
      </c>
      <c r="D57" s="5" t="s">
        <v>45</v>
      </c>
      <c r="E57" s="5" t="s">
        <v>127</v>
      </c>
      <c r="F57" s="5" t="s">
        <v>128</v>
      </c>
      <c r="G57" s="5" t="s">
        <v>120</v>
      </c>
      <c r="H57" s="5" t="s">
        <v>16</v>
      </c>
      <c r="I57" s="5">
        <v>2</v>
      </c>
      <c r="J57" s="5">
        <v>333.63</v>
      </c>
      <c r="K57" s="5">
        <v>392.88</v>
      </c>
      <c r="L57" s="7">
        <f t="shared" si="0"/>
        <v>667.26</v>
      </c>
      <c r="M57" s="7">
        <f t="shared" si="1"/>
        <v>274.38</v>
      </c>
      <c r="N57" t="str">
        <f t="shared" si="2"/>
        <v>Low</v>
      </c>
    </row>
    <row r="58" spans="1:14" x14ac:dyDescent="0.3">
      <c r="A58" s="2">
        <v>46085</v>
      </c>
      <c r="B58" s="3">
        <v>2026</v>
      </c>
      <c r="C58" s="3" t="s">
        <v>138</v>
      </c>
      <c r="D58" s="3" t="s">
        <v>109</v>
      </c>
      <c r="E58" s="3" t="s">
        <v>139</v>
      </c>
      <c r="F58" s="3" t="s">
        <v>140</v>
      </c>
      <c r="G58" s="3" t="s">
        <v>120</v>
      </c>
      <c r="H58" s="3" t="s">
        <v>39</v>
      </c>
      <c r="I58" s="3">
        <v>9</v>
      </c>
      <c r="J58" s="3">
        <v>77.33</v>
      </c>
      <c r="K58" s="3">
        <v>375.33</v>
      </c>
      <c r="L58" s="7">
        <f t="shared" si="0"/>
        <v>695.97</v>
      </c>
      <c r="M58" s="7">
        <f t="shared" si="1"/>
        <v>320.64000000000004</v>
      </c>
      <c r="N58" t="str">
        <f t="shared" si="2"/>
        <v>Low</v>
      </c>
    </row>
    <row r="59" spans="1:14" x14ac:dyDescent="0.3">
      <c r="A59" s="4">
        <v>46149</v>
      </c>
      <c r="B59" s="5">
        <v>2026</v>
      </c>
      <c r="C59" s="5" t="s">
        <v>33</v>
      </c>
      <c r="D59" s="5" t="s">
        <v>83</v>
      </c>
      <c r="E59" s="5" t="s">
        <v>141</v>
      </c>
      <c r="F59" s="5" t="s">
        <v>142</v>
      </c>
      <c r="G59" s="5" t="s">
        <v>120</v>
      </c>
      <c r="H59" s="5" t="s">
        <v>21</v>
      </c>
      <c r="I59" s="5">
        <v>1</v>
      </c>
      <c r="J59" s="5">
        <v>251.54</v>
      </c>
      <c r="K59" s="5">
        <v>133.61000000000001</v>
      </c>
      <c r="L59" s="7">
        <f t="shared" si="0"/>
        <v>251.54</v>
      </c>
      <c r="M59" s="7">
        <f t="shared" si="1"/>
        <v>117.92999999999998</v>
      </c>
      <c r="N59" t="str">
        <f t="shared" si="2"/>
        <v>Low</v>
      </c>
    </row>
    <row r="60" spans="1:14" x14ac:dyDescent="0.3">
      <c r="A60" s="2">
        <v>46319</v>
      </c>
      <c r="B60" s="3">
        <v>2026</v>
      </c>
      <c r="C60" s="3" t="s">
        <v>143</v>
      </c>
      <c r="D60" s="3" t="s">
        <v>144</v>
      </c>
      <c r="E60" s="3" t="s">
        <v>145</v>
      </c>
      <c r="F60" s="3" t="s">
        <v>146</v>
      </c>
      <c r="G60" s="3" t="s">
        <v>120</v>
      </c>
      <c r="H60" s="3" t="s">
        <v>39</v>
      </c>
      <c r="I60" s="3">
        <v>3</v>
      </c>
      <c r="J60" s="3">
        <v>224.4</v>
      </c>
      <c r="K60" s="3">
        <v>487.85</v>
      </c>
      <c r="L60" s="7">
        <f t="shared" si="0"/>
        <v>673.2</v>
      </c>
      <c r="M60" s="7">
        <f t="shared" si="1"/>
        <v>185.35000000000002</v>
      </c>
      <c r="N60" t="str">
        <f t="shared" si="2"/>
        <v>Low</v>
      </c>
    </row>
    <row r="61" spans="1:14" x14ac:dyDescent="0.3">
      <c r="A61" s="4">
        <v>46125</v>
      </c>
      <c r="B61" s="5">
        <v>2026</v>
      </c>
      <c r="C61" s="5" t="s">
        <v>104</v>
      </c>
      <c r="D61" s="5" t="s">
        <v>147</v>
      </c>
      <c r="E61" s="5" t="s">
        <v>141</v>
      </c>
      <c r="F61" s="5" t="s">
        <v>142</v>
      </c>
      <c r="G61" s="5" t="s">
        <v>120</v>
      </c>
      <c r="H61" s="5" t="s">
        <v>16</v>
      </c>
      <c r="I61" s="5">
        <v>9</v>
      </c>
      <c r="J61" s="5">
        <v>21.89</v>
      </c>
      <c r="K61" s="5">
        <v>121.32</v>
      </c>
      <c r="L61" s="7">
        <f t="shared" si="0"/>
        <v>197.01</v>
      </c>
      <c r="M61" s="7">
        <f t="shared" si="1"/>
        <v>75.69</v>
      </c>
      <c r="N61" t="str">
        <f t="shared" si="2"/>
        <v>Low</v>
      </c>
    </row>
    <row r="62" spans="1:14" x14ac:dyDescent="0.3">
      <c r="A62" s="2">
        <v>46181</v>
      </c>
      <c r="B62" s="3">
        <v>2026</v>
      </c>
      <c r="C62" s="3" t="s">
        <v>148</v>
      </c>
      <c r="D62" s="3" t="s">
        <v>149</v>
      </c>
      <c r="E62" s="3" t="s">
        <v>133</v>
      </c>
      <c r="F62" s="3" t="s">
        <v>134</v>
      </c>
      <c r="G62" s="3" t="s">
        <v>120</v>
      </c>
      <c r="H62" s="3" t="s">
        <v>28</v>
      </c>
      <c r="I62" s="3">
        <v>6</v>
      </c>
      <c r="J62" s="3">
        <v>244.51</v>
      </c>
      <c r="K62" s="3">
        <v>1125.9000000000001</v>
      </c>
      <c r="L62" s="7">
        <f t="shared" si="0"/>
        <v>1467.06</v>
      </c>
      <c r="M62" s="7">
        <f t="shared" si="1"/>
        <v>341.15999999999985</v>
      </c>
      <c r="N62" t="str">
        <f t="shared" si="2"/>
        <v>Low</v>
      </c>
    </row>
    <row r="63" spans="1:14" x14ac:dyDescent="0.3">
      <c r="A63" s="4">
        <v>46209</v>
      </c>
      <c r="B63" s="5">
        <v>2026</v>
      </c>
      <c r="C63" s="5" t="s">
        <v>150</v>
      </c>
      <c r="D63" s="5" t="s">
        <v>109</v>
      </c>
      <c r="E63" s="5" t="s">
        <v>136</v>
      </c>
      <c r="F63" s="5" t="s">
        <v>137</v>
      </c>
      <c r="G63" s="5" t="s">
        <v>120</v>
      </c>
      <c r="H63" s="5" t="s">
        <v>16</v>
      </c>
      <c r="I63" s="5">
        <v>10</v>
      </c>
      <c r="J63" s="5">
        <v>343.27</v>
      </c>
      <c r="K63" s="5">
        <v>2108.08</v>
      </c>
      <c r="L63" s="7">
        <f t="shared" si="0"/>
        <v>3432.7</v>
      </c>
      <c r="M63" s="7">
        <f t="shared" si="1"/>
        <v>1324.62</v>
      </c>
      <c r="N63" t="str">
        <f t="shared" si="2"/>
        <v>High</v>
      </c>
    </row>
    <row r="64" spans="1:14" x14ac:dyDescent="0.3">
      <c r="A64" s="2">
        <v>46178</v>
      </c>
      <c r="B64" s="3">
        <v>2026</v>
      </c>
      <c r="C64" s="3" t="s">
        <v>151</v>
      </c>
      <c r="D64" s="3" t="s">
        <v>87</v>
      </c>
      <c r="E64" s="3" t="s">
        <v>133</v>
      </c>
      <c r="F64" s="3" t="s">
        <v>134</v>
      </c>
      <c r="G64" s="3" t="s">
        <v>120</v>
      </c>
      <c r="H64" s="3" t="s">
        <v>28</v>
      </c>
      <c r="I64" s="3">
        <v>19</v>
      </c>
      <c r="J64" s="3">
        <v>171.6</v>
      </c>
      <c r="K64" s="3">
        <v>2650.42</v>
      </c>
      <c r="L64" s="7">
        <f t="shared" si="0"/>
        <v>3260.4</v>
      </c>
      <c r="M64" s="7">
        <f t="shared" si="1"/>
        <v>609.98</v>
      </c>
      <c r="N64" t="str">
        <f t="shared" si="2"/>
        <v>High</v>
      </c>
    </row>
    <row r="65" spans="1:14" x14ac:dyDescent="0.3">
      <c r="A65" s="4">
        <v>46132</v>
      </c>
      <c r="B65" s="5">
        <v>2026</v>
      </c>
      <c r="C65" s="5" t="s">
        <v>84</v>
      </c>
      <c r="D65" s="5" t="s">
        <v>152</v>
      </c>
      <c r="E65" s="5" t="s">
        <v>153</v>
      </c>
      <c r="F65" s="5" t="s">
        <v>154</v>
      </c>
      <c r="G65" s="5" t="s">
        <v>120</v>
      </c>
      <c r="H65" s="5" t="s">
        <v>39</v>
      </c>
      <c r="I65" s="5">
        <v>2</v>
      </c>
      <c r="J65" s="5">
        <v>346.03</v>
      </c>
      <c r="K65" s="5">
        <v>505.71</v>
      </c>
      <c r="L65" s="7">
        <f t="shared" si="0"/>
        <v>692.06</v>
      </c>
      <c r="M65" s="7">
        <f t="shared" si="1"/>
        <v>186.34999999999997</v>
      </c>
      <c r="N65" t="str">
        <f t="shared" si="2"/>
        <v>Low</v>
      </c>
    </row>
    <row r="66" spans="1:14" x14ac:dyDescent="0.3">
      <c r="A66" s="2">
        <v>46344</v>
      </c>
      <c r="B66" s="3">
        <v>2026</v>
      </c>
      <c r="C66" s="3" t="s">
        <v>59</v>
      </c>
      <c r="D66" s="3" t="s">
        <v>38</v>
      </c>
      <c r="E66" s="3" t="s">
        <v>155</v>
      </c>
      <c r="F66" s="3" t="s">
        <v>156</v>
      </c>
      <c r="G66" s="3" t="s">
        <v>120</v>
      </c>
      <c r="H66" s="3" t="s">
        <v>16</v>
      </c>
      <c r="I66" s="3">
        <v>18</v>
      </c>
      <c r="J66" s="3">
        <v>37.06</v>
      </c>
      <c r="K66" s="3">
        <v>361.59</v>
      </c>
      <c r="L66" s="7">
        <f t="shared" si="0"/>
        <v>667.08</v>
      </c>
      <c r="M66" s="7">
        <f t="shared" si="1"/>
        <v>305.49000000000007</v>
      </c>
      <c r="N66" t="str">
        <f t="shared" si="2"/>
        <v>Low</v>
      </c>
    </row>
    <row r="67" spans="1:14" x14ac:dyDescent="0.3">
      <c r="A67" s="4">
        <v>46285</v>
      </c>
      <c r="B67" s="5">
        <v>2026</v>
      </c>
      <c r="C67" s="5" t="s">
        <v>125</v>
      </c>
      <c r="D67" s="5" t="s">
        <v>157</v>
      </c>
      <c r="E67" s="5" t="s">
        <v>123</v>
      </c>
      <c r="F67" s="5" t="s">
        <v>124</v>
      </c>
      <c r="G67" s="5" t="s">
        <v>120</v>
      </c>
      <c r="H67" s="5" t="s">
        <v>28</v>
      </c>
      <c r="I67" s="5">
        <v>18</v>
      </c>
      <c r="J67" s="5">
        <v>234.05</v>
      </c>
      <c r="K67" s="5">
        <v>2297.8000000000002</v>
      </c>
      <c r="L67" s="7">
        <f t="shared" ref="L67:L130" si="3">I67*J67</f>
        <v>4212.9000000000005</v>
      </c>
      <c r="M67" s="7">
        <f t="shared" ref="M67:M130" si="4">L67-K67</f>
        <v>1915.1000000000004</v>
      </c>
      <c r="N67" t="str">
        <f t="shared" ref="N67:N130" si="5">IF(L67&gt;=3000,"High",IF(L67&gt;=1500,"Medium","Low"))</f>
        <v>High</v>
      </c>
    </row>
    <row r="68" spans="1:14" x14ac:dyDescent="0.3">
      <c r="A68" s="2">
        <v>46085</v>
      </c>
      <c r="B68" s="3">
        <v>2026</v>
      </c>
      <c r="C68" s="3" t="s">
        <v>158</v>
      </c>
      <c r="D68" s="3" t="s">
        <v>159</v>
      </c>
      <c r="E68" s="3" t="s">
        <v>153</v>
      </c>
      <c r="F68" s="3" t="s">
        <v>154</v>
      </c>
      <c r="G68" s="3" t="s">
        <v>120</v>
      </c>
      <c r="H68" s="3" t="s">
        <v>21</v>
      </c>
      <c r="I68" s="3">
        <v>2</v>
      </c>
      <c r="J68" s="3">
        <v>45.83</v>
      </c>
      <c r="K68" s="3">
        <v>72.14</v>
      </c>
      <c r="L68" s="7">
        <f t="shared" si="3"/>
        <v>91.66</v>
      </c>
      <c r="M68" s="7">
        <f t="shared" si="4"/>
        <v>19.519999999999996</v>
      </c>
      <c r="N68" t="str">
        <f t="shared" si="5"/>
        <v>Low</v>
      </c>
    </row>
    <row r="69" spans="1:14" x14ac:dyDescent="0.3">
      <c r="A69" s="4">
        <v>46041</v>
      </c>
      <c r="B69" s="5">
        <v>2026</v>
      </c>
      <c r="C69" s="5" t="s">
        <v>53</v>
      </c>
      <c r="D69" s="5" t="s">
        <v>160</v>
      </c>
      <c r="E69" s="5" t="s">
        <v>127</v>
      </c>
      <c r="F69" s="5" t="s">
        <v>128</v>
      </c>
      <c r="G69" s="5" t="s">
        <v>120</v>
      </c>
      <c r="H69" s="5" t="s">
        <v>16</v>
      </c>
      <c r="I69" s="5">
        <v>15</v>
      </c>
      <c r="J69" s="5">
        <v>132.94999999999999</v>
      </c>
      <c r="K69" s="5">
        <v>1248.17</v>
      </c>
      <c r="L69" s="7">
        <f t="shared" si="3"/>
        <v>1994.2499999999998</v>
      </c>
      <c r="M69" s="7">
        <f t="shared" si="4"/>
        <v>746.0799999999997</v>
      </c>
      <c r="N69" t="str">
        <f t="shared" si="5"/>
        <v>Medium</v>
      </c>
    </row>
    <row r="70" spans="1:14" x14ac:dyDescent="0.3">
      <c r="A70" s="2">
        <v>46136</v>
      </c>
      <c r="B70" s="3">
        <v>2026</v>
      </c>
      <c r="C70" s="3" t="s">
        <v>161</v>
      </c>
      <c r="D70" s="3" t="s">
        <v>162</v>
      </c>
      <c r="E70" s="3" t="s">
        <v>130</v>
      </c>
      <c r="F70" s="3" t="s">
        <v>131</v>
      </c>
      <c r="G70" s="3" t="s">
        <v>120</v>
      </c>
      <c r="H70" s="3" t="s">
        <v>39</v>
      </c>
      <c r="I70" s="3">
        <v>4</v>
      </c>
      <c r="J70" s="3">
        <v>404.46</v>
      </c>
      <c r="K70" s="3">
        <v>998</v>
      </c>
      <c r="L70" s="7">
        <f t="shared" si="3"/>
        <v>1617.84</v>
      </c>
      <c r="M70" s="7">
        <f t="shared" si="4"/>
        <v>619.83999999999992</v>
      </c>
      <c r="N70" t="str">
        <f t="shared" si="5"/>
        <v>Medium</v>
      </c>
    </row>
    <row r="71" spans="1:14" x14ac:dyDescent="0.3">
      <c r="A71" s="4">
        <v>46073</v>
      </c>
      <c r="B71" s="5">
        <v>2026</v>
      </c>
      <c r="C71" s="5" t="s">
        <v>148</v>
      </c>
      <c r="D71" s="5" t="s">
        <v>79</v>
      </c>
      <c r="E71" s="5" t="s">
        <v>139</v>
      </c>
      <c r="F71" s="5" t="s">
        <v>140</v>
      </c>
      <c r="G71" s="5" t="s">
        <v>120</v>
      </c>
      <c r="H71" s="5" t="s">
        <v>16</v>
      </c>
      <c r="I71" s="5">
        <v>13</v>
      </c>
      <c r="J71" s="5">
        <v>284.56</v>
      </c>
      <c r="K71" s="5">
        <v>2324</v>
      </c>
      <c r="L71" s="7">
        <f t="shared" si="3"/>
        <v>3699.28</v>
      </c>
      <c r="M71" s="7">
        <f t="shared" si="4"/>
        <v>1375.2800000000002</v>
      </c>
      <c r="N71" t="str">
        <f t="shared" si="5"/>
        <v>High</v>
      </c>
    </row>
    <row r="72" spans="1:14" x14ac:dyDescent="0.3">
      <c r="A72" s="2">
        <v>46116</v>
      </c>
      <c r="B72" s="3">
        <v>2026</v>
      </c>
      <c r="C72" s="3" t="s">
        <v>163</v>
      </c>
      <c r="D72" s="3" t="s">
        <v>164</v>
      </c>
      <c r="E72" s="3" t="s">
        <v>136</v>
      </c>
      <c r="F72" s="3" t="s">
        <v>137</v>
      </c>
      <c r="G72" s="3" t="s">
        <v>120</v>
      </c>
      <c r="H72" s="3" t="s">
        <v>39</v>
      </c>
      <c r="I72" s="3">
        <v>5</v>
      </c>
      <c r="J72" s="3">
        <v>443.57</v>
      </c>
      <c r="K72" s="3">
        <v>1580.24</v>
      </c>
      <c r="L72" s="7">
        <f t="shared" si="3"/>
        <v>2217.85</v>
      </c>
      <c r="M72" s="7">
        <f t="shared" si="4"/>
        <v>637.6099999999999</v>
      </c>
      <c r="N72" t="str">
        <f t="shared" si="5"/>
        <v>Medium</v>
      </c>
    </row>
    <row r="73" spans="1:14" x14ac:dyDescent="0.3">
      <c r="A73" s="4">
        <v>46317</v>
      </c>
      <c r="B73" s="5">
        <v>2026</v>
      </c>
      <c r="C73" s="5" t="s">
        <v>165</v>
      </c>
      <c r="D73" s="5" t="s">
        <v>166</v>
      </c>
      <c r="E73" s="5" t="s">
        <v>167</v>
      </c>
      <c r="F73" s="5" t="s">
        <v>168</v>
      </c>
      <c r="G73" s="5" t="s">
        <v>120</v>
      </c>
      <c r="H73" s="5" t="s">
        <v>21</v>
      </c>
      <c r="I73" s="5">
        <v>12</v>
      </c>
      <c r="J73" s="5">
        <v>215.9</v>
      </c>
      <c r="K73" s="5">
        <v>1696.77</v>
      </c>
      <c r="L73" s="7">
        <f t="shared" si="3"/>
        <v>2590.8000000000002</v>
      </c>
      <c r="M73" s="7">
        <f t="shared" si="4"/>
        <v>894.0300000000002</v>
      </c>
      <c r="N73" t="str">
        <f t="shared" si="5"/>
        <v>Medium</v>
      </c>
    </row>
    <row r="74" spans="1:14" x14ac:dyDescent="0.3">
      <c r="A74" s="2">
        <v>46121</v>
      </c>
      <c r="B74" s="3">
        <v>2026</v>
      </c>
      <c r="C74" s="3" t="s">
        <v>169</v>
      </c>
      <c r="D74" s="3" t="s">
        <v>170</v>
      </c>
      <c r="E74" s="3" t="s">
        <v>141</v>
      </c>
      <c r="F74" s="3" t="s">
        <v>142</v>
      </c>
      <c r="G74" s="3" t="s">
        <v>120</v>
      </c>
      <c r="H74" s="3" t="s">
        <v>39</v>
      </c>
      <c r="I74" s="3">
        <v>11</v>
      </c>
      <c r="J74" s="3">
        <v>292.58999999999997</v>
      </c>
      <c r="K74" s="3">
        <v>2444.7399999999998</v>
      </c>
      <c r="L74" s="7">
        <f t="shared" si="3"/>
        <v>3218.49</v>
      </c>
      <c r="M74" s="7">
        <f t="shared" si="4"/>
        <v>773.75</v>
      </c>
      <c r="N74" t="str">
        <f t="shared" si="5"/>
        <v>High</v>
      </c>
    </row>
    <row r="75" spans="1:14" x14ac:dyDescent="0.3">
      <c r="A75" s="4">
        <v>46142</v>
      </c>
      <c r="B75" s="5">
        <v>2026</v>
      </c>
      <c r="C75" s="5" t="s">
        <v>171</v>
      </c>
      <c r="D75" s="5" t="s">
        <v>172</v>
      </c>
      <c r="E75" s="5" t="s">
        <v>130</v>
      </c>
      <c r="F75" s="5" t="s">
        <v>131</v>
      </c>
      <c r="G75" s="5" t="s">
        <v>120</v>
      </c>
      <c r="H75" s="5" t="s">
        <v>39</v>
      </c>
      <c r="I75" s="5">
        <v>9</v>
      </c>
      <c r="J75" s="5">
        <v>133.11000000000001</v>
      </c>
      <c r="K75" s="5">
        <v>755.77</v>
      </c>
      <c r="L75" s="7">
        <f t="shared" si="3"/>
        <v>1197.9900000000002</v>
      </c>
      <c r="M75" s="7">
        <f t="shared" si="4"/>
        <v>442.22000000000025</v>
      </c>
      <c r="N75" t="str">
        <f t="shared" si="5"/>
        <v>Low</v>
      </c>
    </row>
    <row r="76" spans="1:14" x14ac:dyDescent="0.3">
      <c r="A76" s="2">
        <v>46080</v>
      </c>
      <c r="B76" s="3">
        <v>2026</v>
      </c>
      <c r="C76" s="3" t="s">
        <v>115</v>
      </c>
      <c r="D76" s="3" t="s">
        <v>173</v>
      </c>
      <c r="E76" s="3" t="s">
        <v>136</v>
      </c>
      <c r="F76" s="3" t="s">
        <v>137</v>
      </c>
      <c r="G76" s="3" t="s">
        <v>120</v>
      </c>
      <c r="H76" s="3" t="s">
        <v>16</v>
      </c>
      <c r="I76" s="3">
        <v>8</v>
      </c>
      <c r="J76" s="3">
        <v>37.770000000000003</v>
      </c>
      <c r="K76" s="3">
        <v>204.44</v>
      </c>
      <c r="L76" s="7">
        <f t="shared" si="3"/>
        <v>302.16000000000003</v>
      </c>
      <c r="M76" s="7">
        <f t="shared" si="4"/>
        <v>97.720000000000027</v>
      </c>
      <c r="N76" t="str">
        <f t="shared" si="5"/>
        <v>Low</v>
      </c>
    </row>
    <row r="77" spans="1:14" x14ac:dyDescent="0.3">
      <c r="A77" s="4">
        <v>46062</v>
      </c>
      <c r="B77" s="5">
        <v>2026</v>
      </c>
      <c r="C77" s="5" t="s">
        <v>53</v>
      </c>
      <c r="D77" s="5" t="s">
        <v>12</v>
      </c>
      <c r="E77" s="5" t="s">
        <v>133</v>
      </c>
      <c r="F77" s="5" t="s">
        <v>134</v>
      </c>
      <c r="G77" s="5" t="s">
        <v>120</v>
      </c>
      <c r="H77" s="5" t="s">
        <v>16</v>
      </c>
      <c r="I77" s="5">
        <v>7</v>
      </c>
      <c r="J77" s="5">
        <v>48.73</v>
      </c>
      <c r="K77" s="5">
        <v>182.38</v>
      </c>
      <c r="L77" s="7">
        <f t="shared" si="3"/>
        <v>341.10999999999996</v>
      </c>
      <c r="M77" s="7">
        <f t="shared" si="4"/>
        <v>158.72999999999996</v>
      </c>
      <c r="N77" t="str">
        <f t="shared" si="5"/>
        <v>Low</v>
      </c>
    </row>
    <row r="78" spans="1:14" x14ac:dyDescent="0.3">
      <c r="A78" s="2">
        <v>46327</v>
      </c>
      <c r="B78" s="3">
        <v>2026</v>
      </c>
      <c r="C78" s="3" t="s">
        <v>108</v>
      </c>
      <c r="D78" s="3" t="s">
        <v>23</v>
      </c>
      <c r="E78" s="3" t="s">
        <v>153</v>
      </c>
      <c r="F78" s="3" t="s">
        <v>154</v>
      </c>
      <c r="G78" s="3" t="s">
        <v>120</v>
      </c>
      <c r="H78" s="3" t="s">
        <v>39</v>
      </c>
      <c r="I78" s="3">
        <v>3</v>
      </c>
      <c r="J78" s="3">
        <v>355.71</v>
      </c>
      <c r="K78" s="3">
        <v>555.44000000000005</v>
      </c>
      <c r="L78" s="7">
        <f t="shared" si="3"/>
        <v>1067.1299999999999</v>
      </c>
      <c r="M78" s="7">
        <f t="shared" si="4"/>
        <v>511.68999999999983</v>
      </c>
      <c r="N78" t="str">
        <f t="shared" si="5"/>
        <v>Low</v>
      </c>
    </row>
    <row r="79" spans="1:14" x14ac:dyDescent="0.3">
      <c r="A79" s="4">
        <v>46137</v>
      </c>
      <c r="B79" s="5">
        <v>2026</v>
      </c>
      <c r="C79" s="5" t="s">
        <v>174</v>
      </c>
      <c r="D79" s="5" t="s">
        <v>97</v>
      </c>
      <c r="E79" s="5" t="s">
        <v>139</v>
      </c>
      <c r="F79" s="5" t="s">
        <v>140</v>
      </c>
      <c r="G79" s="5" t="s">
        <v>120</v>
      </c>
      <c r="H79" s="5" t="s">
        <v>28</v>
      </c>
      <c r="I79" s="5">
        <v>3</v>
      </c>
      <c r="J79" s="5">
        <v>87.42</v>
      </c>
      <c r="K79" s="5">
        <v>197.17</v>
      </c>
      <c r="L79" s="7">
        <f t="shared" si="3"/>
        <v>262.26</v>
      </c>
      <c r="M79" s="7">
        <f t="shared" si="4"/>
        <v>65.09</v>
      </c>
      <c r="N79" t="str">
        <f t="shared" si="5"/>
        <v>Low</v>
      </c>
    </row>
    <row r="80" spans="1:14" x14ac:dyDescent="0.3">
      <c r="A80" s="2">
        <v>46169</v>
      </c>
      <c r="B80" s="3">
        <v>2026</v>
      </c>
      <c r="C80" s="3" t="s">
        <v>76</v>
      </c>
      <c r="D80" s="3" t="s">
        <v>175</v>
      </c>
      <c r="E80" s="3" t="s">
        <v>139</v>
      </c>
      <c r="F80" s="3" t="s">
        <v>140</v>
      </c>
      <c r="G80" s="3" t="s">
        <v>120</v>
      </c>
      <c r="H80" s="3" t="s">
        <v>28</v>
      </c>
      <c r="I80" s="3">
        <v>5</v>
      </c>
      <c r="J80" s="3">
        <v>384.53</v>
      </c>
      <c r="K80" s="3">
        <v>1557.04</v>
      </c>
      <c r="L80" s="7">
        <f t="shared" si="3"/>
        <v>1922.6499999999999</v>
      </c>
      <c r="M80" s="7">
        <f t="shared" si="4"/>
        <v>365.6099999999999</v>
      </c>
      <c r="N80" t="str">
        <f t="shared" si="5"/>
        <v>Medium</v>
      </c>
    </row>
    <row r="81" spans="1:14" x14ac:dyDescent="0.3">
      <c r="A81" s="4">
        <v>46260</v>
      </c>
      <c r="B81" s="5">
        <v>2026</v>
      </c>
      <c r="C81" s="5" t="s">
        <v>59</v>
      </c>
      <c r="D81" s="5" t="s">
        <v>176</v>
      </c>
      <c r="E81" s="5" t="s">
        <v>118</v>
      </c>
      <c r="F81" s="5" t="s">
        <v>119</v>
      </c>
      <c r="G81" s="5" t="s">
        <v>120</v>
      </c>
      <c r="H81" s="5" t="s">
        <v>16</v>
      </c>
      <c r="I81" s="5">
        <v>5</v>
      </c>
      <c r="J81" s="5">
        <v>489.97</v>
      </c>
      <c r="K81" s="5">
        <v>1667.25</v>
      </c>
      <c r="L81" s="7">
        <f t="shared" si="3"/>
        <v>2449.8500000000004</v>
      </c>
      <c r="M81" s="7">
        <f t="shared" si="4"/>
        <v>782.60000000000036</v>
      </c>
      <c r="N81" t="str">
        <f t="shared" si="5"/>
        <v>Medium</v>
      </c>
    </row>
    <row r="82" spans="1:14" x14ac:dyDescent="0.3">
      <c r="A82" s="2">
        <v>46032</v>
      </c>
      <c r="B82" s="3">
        <v>2026</v>
      </c>
      <c r="C82" s="3" t="s">
        <v>177</v>
      </c>
      <c r="D82" s="3" t="s">
        <v>178</v>
      </c>
      <c r="E82" s="3" t="s">
        <v>118</v>
      </c>
      <c r="F82" s="3" t="s">
        <v>119</v>
      </c>
      <c r="G82" s="3" t="s">
        <v>120</v>
      </c>
      <c r="H82" s="3" t="s">
        <v>28</v>
      </c>
      <c r="I82" s="3">
        <v>4</v>
      </c>
      <c r="J82" s="3">
        <v>303.33999999999997</v>
      </c>
      <c r="K82" s="3">
        <v>865.96</v>
      </c>
      <c r="L82" s="7">
        <f t="shared" si="3"/>
        <v>1213.3599999999999</v>
      </c>
      <c r="M82" s="7">
        <f t="shared" si="4"/>
        <v>347.39999999999986</v>
      </c>
      <c r="N82" t="str">
        <f t="shared" si="5"/>
        <v>Low</v>
      </c>
    </row>
    <row r="83" spans="1:14" x14ac:dyDescent="0.3">
      <c r="A83" s="4">
        <v>46211</v>
      </c>
      <c r="B83" s="5">
        <v>2026</v>
      </c>
      <c r="C83" s="5" t="s">
        <v>98</v>
      </c>
      <c r="D83" s="5" t="s">
        <v>179</v>
      </c>
      <c r="E83" s="5" t="s">
        <v>153</v>
      </c>
      <c r="F83" s="5" t="s">
        <v>154</v>
      </c>
      <c r="G83" s="5" t="s">
        <v>120</v>
      </c>
      <c r="H83" s="5" t="s">
        <v>21</v>
      </c>
      <c r="I83" s="5">
        <v>12</v>
      </c>
      <c r="J83" s="5">
        <v>378.71</v>
      </c>
      <c r="K83" s="5">
        <v>3183.38</v>
      </c>
      <c r="L83" s="7">
        <f t="shared" si="3"/>
        <v>4544.5199999999995</v>
      </c>
      <c r="M83" s="7">
        <f t="shared" si="4"/>
        <v>1361.1399999999994</v>
      </c>
      <c r="N83" t="str">
        <f t="shared" si="5"/>
        <v>High</v>
      </c>
    </row>
    <row r="84" spans="1:14" x14ac:dyDescent="0.3">
      <c r="A84" s="2">
        <v>46380</v>
      </c>
      <c r="B84" s="3">
        <v>2026</v>
      </c>
      <c r="C84" s="3" t="s">
        <v>29</v>
      </c>
      <c r="D84" s="3" t="s">
        <v>180</v>
      </c>
      <c r="E84" s="3" t="s">
        <v>141</v>
      </c>
      <c r="F84" s="3" t="s">
        <v>142</v>
      </c>
      <c r="G84" s="3" t="s">
        <v>120</v>
      </c>
      <c r="H84" s="3" t="s">
        <v>21</v>
      </c>
      <c r="I84" s="3">
        <v>14</v>
      </c>
      <c r="J84" s="3">
        <v>258.05</v>
      </c>
      <c r="K84" s="3">
        <v>2375.75</v>
      </c>
      <c r="L84" s="7">
        <f t="shared" si="3"/>
        <v>3612.7000000000003</v>
      </c>
      <c r="M84" s="7">
        <f t="shared" si="4"/>
        <v>1236.9500000000003</v>
      </c>
      <c r="N84" t="str">
        <f t="shared" si="5"/>
        <v>High</v>
      </c>
    </row>
    <row r="85" spans="1:14" x14ac:dyDescent="0.3">
      <c r="A85" s="4">
        <v>46043</v>
      </c>
      <c r="B85" s="5">
        <v>2026</v>
      </c>
      <c r="C85" s="5" t="s">
        <v>121</v>
      </c>
      <c r="D85" s="5" t="s">
        <v>181</v>
      </c>
      <c r="E85" s="5" t="s">
        <v>167</v>
      </c>
      <c r="F85" s="5" t="s">
        <v>168</v>
      </c>
      <c r="G85" s="5" t="s">
        <v>120</v>
      </c>
      <c r="H85" s="5" t="s">
        <v>39</v>
      </c>
      <c r="I85" s="5">
        <v>11</v>
      </c>
      <c r="J85" s="5">
        <v>290.02999999999997</v>
      </c>
      <c r="K85" s="5">
        <v>2607.48</v>
      </c>
      <c r="L85" s="7">
        <f t="shared" si="3"/>
        <v>3190.33</v>
      </c>
      <c r="M85" s="7">
        <f t="shared" si="4"/>
        <v>582.84999999999991</v>
      </c>
      <c r="N85" t="str">
        <f t="shared" si="5"/>
        <v>High</v>
      </c>
    </row>
    <row r="86" spans="1:14" x14ac:dyDescent="0.3">
      <c r="A86" s="2">
        <v>46136</v>
      </c>
      <c r="B86" s="3">
        <v>2026</v>
      </c>
      <c r="C86" s="3" t="s">
        <v>78</v>
      </c>
      <c r="D86" s="3" t="s">
        <v>182</v>
      </c>
      <c r="E86" s="3" t="s">
        <v>153</v>
      </c>
      <c r="F86" s="3" t="s">
        <v>154</v>
      </c>
      <c r="G86" s="3" t="s">
        <v>120</v>
      </c>
      <c r="H86" s="3" t="s">
        <v>21</v>
      </c>
      <c r="I86" s="3">
        <v>8</v>
      </c>
      <c r="J86" s="3">
        <v>137.65</v>
      </c>
      <c r="K86" s="3">
        <v>794.58</v>
      </c>
      <c r="L86" s="7">
        <f t="shared" si="3"/>
        <v>1101.2</v>
      </c>
      <c r="M86" s="7">
        <f t="shared" si="4"/>
        <v>306.62</v>
      </c>
      <c r="N86" t="str">
        <f t="shared" si="5"/>
        <v>Low</v>
      </c>
    </row>
    <row r="87" spans="1:14" x14ac:dyDescent="0.3">
      <c r="A87" s="4">
        <v>46208</v>
      </c>
      <c r="B87" s="5">
        <v>2026</v>
      </c>
      <c r="C87" s="5" t="s">
        <v>183</v>
      </c>
      <c r="D87" s="5" t="s">
        <v>184</v>
      </c>
      <c r="E87" s="5" t="s">
        <v>133</v>
      </c>
      <c r="F87" s="5" t="s">
        <v>134</v>
      </c>
      <c r="G87" s="5" t="s">
        <v>120</v>
      </c>
      <c r="H87" s="5" t="s">
        <v>28</v>
      </c>
      <c r="I87" s="5">
        <v>4</v>
      </c>
      <c r="J87" s="5">
        <v>44.76</v>
      </c>
      <c r="K87" s="5">
        <v>98.19</v>
      </c>
      <c r="L87" s="7">
        <f t="shared" si="3"/>
        <v>179.04</v>
      </c>
      <c r="M87" s="7">
        <f t="shared" si="4"/>
        <v>80.849999999999994</v>
      </c>
      <c r="N87" t="str">
        <f t="shared" si="5"/>
        <v>Low</v>
      </c>
    </row>
    <row r="88" spans="1:14" x14ac:dyDescent="0.3">
      <c r="A88" s="2">
        <v>46357</v>
      </c>
      <c r="B88" s="3">
        <v>2026</v>
      </c>
      <c r="C88" s="3" t="s">
        <v>47</v>
      </c>
      <c r="D88" s="3" t="s">
        <v>185</v>
      </c>
      <c r="E88" s="3" t="s">
        <v>139</v>
      </c>
      <c r="F88" s="3" t="s">
        <v>140</v>
      </c>
      <c r="G88" s="3" t="s">
        <v>120</v>
      </c>
      <c r="H88" s="3" t="s">
        <v>21</v>
      </c>
      <c r="I88" s="3">
        <v>10</v>
      </c>
      <c r="J88" s="3">
        <v>495.46</v>
      </c>
      <c r="K88" s="3">
        <v>2775.05</v>
      </c>
      <c r="L88" s="7">
        <f t="shared" si="3"/>
        <v>4954.5999999999995</v>
      </c>
      <c r="M88" s="7">
        <f t="shared" si="4"/>
        <v>2179.5499999999993</v>
      </c>
      <c r="N88" t="str">
        <f t="shared" si="5"/>
        <v>High</v>
      </c>
    </row>
    <row r="89" spans="1:14" x14ac:dyDescent="0.3">
      <c r="A89" s="4">
        <v>46380</v>
      </c>
      <c r="B89" s="5">
        <v>2026</v>
      </c>
      <c r="C89" s="5" t="s">
        <v>186</v>
      </c>
      <c r="D89" s="5" t="s">
        <v>187</v>
      </c>
      <c r="E89" s="5" t="s">
        <v>127</v>
      </c>
      <c r="F89" s="5" t="s">
        <v>128</v>
      </c>
      <c r="G89" s="5" t="s">
        <v>120</v>
      </c>
      <c r="H89" s="5" t="s">
        <v>39</v>
      </c>
      <c r="I89" s="5">
        <v>12</v>
      </c>
      <c r="J89" s="5">
        <v>282.08999999999997</v>
      </c>
      <c r="K89" s="5">
        <v>2201.5700000000002</v>
      </c>
      <c r="L89" s="7">
        <f t="shared" si="3"/>
        <v>3385.08</v>
      </c>
      <c r="M89" s="7">
        <f t="shared" si="4"/>
        <v>1183.5099999999998</v>
      </c>
      <c r="N89" t="str">
        <f t="shared" si="5"/>
        <v>High</v>
      </c>
    </row>
    <row r="90" spans="1:14" x14ac:dyDescent="0.3">
      <c r="A90" s="2">
        <v>46254</v>
      </c>
      <c r="B90" s="3">
        <v>2026</v>
      </c>
      <c r="C90" s="3" t="s">
        <v>188</v>
      </c>
      <c r="D90" s="3" t="s">
        <v>189</v>
      </c>
      <c r="E90" s="3" t="s">
        <v>155</v>
      </c>
      <c r="F90" s="3" t="s">
        <v>156</v>
      </c>
      <c r="G90" s="3" t="s">
        <v>120</v>
      </c>
      <c r="H90" s="3" t="s">
        <v>39</v>
      </c>
      <c r="I90" s="3">
        <v>1</v>
      </c>
      <c r="J90" s="3">
        <v>161.99</v>
      </c>
      <c r="K90" s="3">
        <v>113.57</v>
      </c>
      <c r="L90" s="7">
        <f t="shared" si="3"/>
        <v>161.99</v>
      </c>
      <c r="M90" s="7">
        <f t="shared" si="4"/>
        <v>48.420000000000016</v>
      </c>
      <c r="N90" t="str">
        <f t="shared" si="5"/>
        <v>Low</v>
      </c>
    </row>
    <row r="91" spans="1:14" x14ac:dyDescent="0.3">
      <c r="A91" s="4">
        <v>46332</v>
      </c>
      <c r="B91" s="5">
        <v>2026</v>
      </c>
      <c r="C91" s="5" t="s">
        <v>190</v>
      </c>
      <c r="D91" s="5" t="s">
        <v>191</v>
      </c>
      <c r="E91" s="5" t="s">
        <v>133</v>
      </c>
      <c r="F91" s="5" t="s">
        <v>134</v>
      </c>
      <c r="G91" s="5" t="s">
        <v>120</v>
      </c>
      <c r="H91" s="5" t="s">
        <v>16</v>
      </c>
      <c r="I91" s="5">
        <v>2</v>
      </c>
      <c r="J91" s="5">
        <v>88.36</v>
      </c>
      <c r="K91" s="5">
        <v>122.85</v>
      </c>
      <c r="L91" s="7">
        <f t="shared" si="3"/>
        <v>176.72</v>
      </c>
      <c r="M91" s="7">
        <f t="shared" si="4"/>
        <v>53.870000000000005</v>
      </c>
      <c r="N91" t="str">
        <f t="shared" si="5"/>
        <v>Low</v>
      </c>
    </row>
    <row r="92" spans="1:14" x14ac:dyDescent="0.3">
      <c r="A92" s="2">
        <v>46329</v>
      </c>
      <c r="B92" s="3">
        <v>2026</v>
      </c>
      <c r="C92" s="3" t="s">
        <v>192</v>
      </c>
      <c r="D92" s="3" t="s">
        <v>12</v>
      </c>
      <c r="E92" s="3" t="s">
        <v>167</v>
      </c>
      <c r="F92" s="3" t="s">
        <v>168</v>
      </c>
      <c r="G92" s="3" t="s">
        <v>120</v>
      </c>
      <c r="H92" s="3" t="s">
        <v>28</v>
      </c>
      <c r="I92" s="3">
        <v>7</v>
      </c>
      <c r="J92" s="3">
        <v>339.79</v>
      </c>
      <c r="K92" s="3">
        <v>1733.63</v>
      </c>
      <c r="L92" s="7">
        <f t="shared" si="3"/>
        <v>2378.5300000000002</v>
      </c>
      <c r="M92" s="7">
        <f t="shared" si="4"/>
        <v>644.90000000000009</v>
      </c>
      <c r="N92" t="str">
        <f t="shared" si="5"/>
        <v>Medium</v>
      </c>
    </row>
    <row r="93" spans="1:14" x14ac:dyDescent="0.3">
      <c r="A93" s="4">
        <v>46129</v>
      </c>
      <c r="B93" s="5">
        <v>2026</v>
      </c>
      <c r="C93" s="5" t="s">
        <v>193</v>
      </c>
      <c r="D93" s="5" t="s">
        <v>194</v>
      </c>
      <c r="E93" s="5" t="s">
        <v>141</v>
      </c>
      <c r="F93" s="5" t="s">
        <v>142</v>
      </c>
      <c r="G93" s="5" t="s">
        <v>120</v>
      </c>
      <c r="H93" s="5" t="s">
        <v>21</v>
      </c>
      <c r="I93" s="5">
        <v>4</v>
      </c>
      <c r="J93" s="5">
        <v>396.2</v>
      </c>
      <c r="K93" s="5">
        <v>1138.72</v>
      </c>
      <c r="L93" s="7">
        <f t="shared" si="3"/>
        <v>1584.8</v>
      </c>
      <c r="M93" s="7">
        <f t="shared" si="4"/>
        <v>446.07999999999993</v>
      </c>
      <c r="N93" t="str">
        <f t="shared" si="5"/>
        <v>Medium</v>
      </c>
    </row>
    <row r="94" spans="1:14" x14ac:dyDescent="0.3">
      <c r="A94" s="2">
        <v>46318</v>
      </c>
      <c r="B94" s="3">
        <v>2026</v>
      </c>
      <c r="C94" s="3" t="s">
        <v>148</v>
      </c>
      <c r="D94" s="3" t="s">
        <v>114</v>
      </c>
      <c r="E94" s="3" t="s">
        <v>141</v>
      </c>
      <c r="F94" s="3" t="s">
        <v>142</v>
      </c>
      <c r="G94" s="3" t="s">
        <v>120</v>
      </c>
      <c r="H94" s="3" t="s">
        <v>16</v>
      </c>
      <c r="I94" s="3">
        <v>8</v>
      </c>
      <c r="J94" s="3">
        <v>262.14999999999998</v>
      </c>
      <c r="K94" s="3">
        <v>1406.38</v>
      </c>
      <c r="L94" s="7">
        <f t="shared" si="3"/>
        <v>2097.1999999999998</v>
      </c>
      <c r="M94" s="7">
        <f t="shared" si="4"/>
        <v>690.81999999999971</v>
      </c>
      <c r="N94" t="str">
        <f t="shared" si="5"/>
        <v>Medium</v>
      </c>
    </row>
    <row r="95" spans="1:14" x14ac:dyDescent="0.3">
      <c r="A95" s="4">
        <v>46217</v>
      </c>
      <c r="B95" s="5">
        <v>2026</v>
      </c>
      <c r="C95" s="5" t="s">
        <v>195</v>
      </c>
      <c r="D95" s="5" t="s">
        <v>196</v>
      </c>
      <c r="E95" s="5" t="s">
        <v>139</v>
      </c>
      <c r="F95" s="5" t="s">
        <v>140</v>
      </c>
      <c r="G95" s="5" t="s">
        <v>120</v>
      </c>
      <c r="H95" s="5" t="s">
        <v>16</v>
      </c>
      <c r="I95" s="5">
        <v>19</v>
      </c>
      <c r="J95" s="5">
        <v>49.28</v>
      </c>
      <c r="K95" s="5">
        <v>558.67999999999995</v>
      </c>
      <c r="L95" s="7">
        <f t="shared" si="3"/>
        <v>936.32</v>
      </c>
      <c r="M95" s="7">
        <f t="shared" si="4"/>
        <v>377.6400000000001</v>
      </c>
      <c r="N95" t="str">
        <f t="shared" si="5"/>
        <v>Low</v>
      </c>
    </row>
    <row r="96" spans="1:14" x14ac:dyDescent="0.3">
      <c r="A96" s="2">
        <v>46360</v>
      </c>
      <c r="B96" s="3">
        <v>2026</v>
      </c>
      <c r="C96" s="3" t="s">
        <v>70</v>
      </c>
      <c r="D96" s="3" t="s">
        <v>197</v>
      </c>
      <c r="E96" s="3" t="s">
        <v>118</v>
      </c>
      <c r="F96" s="3" t="s">
        <v>119</v>
      </c>
      <c r="G96" s="3" t="s">
        <v>120</v>
      </c>
      <c r="H96" s="3" t="s">
        <v>28</v>
      </c>
      <c r="I96" s="3">
        <v>12</v>
      </c>
      <c r="J96" s="3">
        <v>79.38</v>
      </c>
      <c r="K96" s="3">
        <v>560.98</v>
      </c>
      <c r="L96" s="7">
        <f t="shared" si="3"/>
        <v>952.56</v>
      </c>
      <c r="M96" s="7">
        <f t="shared" si="4"/>
        <v>391.57999999999993</v>
      </c>
      <c r="N96" t="str">
        <f t="shared" si="5"/>
        <v>Low</v>
      </c>
    </row>
    <row r="97" spans="1:14" x14ac:dyDescent="0.3">
      <c r="A97" s="4">
        <v>46252</v>
      </c>
      <c r="B97" s="5">
        <v>2026</v>
      </c>
      <c r="C97" s="5" t="s">
        <v>198</v>
      </c>
      <c r="D97" s="5" t="s">
        <v>199</v>
      </c>
      <c r="E97" s="5" t="s">
        <v>153</v>
      </c>
      <c r="F97" s="5" t="s">
        <v>154</v>
      </c>
      <c r="G97" s="5" t="s">
        <v>120</v>
      </c>
      <c r="H97" s="5" t="s">
        <v>39</v>
      </c>
      <c r="I97" s="5">
        <v>4</v>
      </c>
      <c r="J97" s="5">
        <v>175.82</v>
      </c>
      <c r="K97" s="5">
        <v>459.99</v>
      </c>
      <c r="L97" s="7">
        <f t="shared" si="3"/>
        <v>703.28</v>
      </c>
      <c r="M97" s="7">
        <f t="shared" si="4"/>
        <v>243.28999999999996</v>
      </c>
      <c r="N97" t="str">
        <f t="shared" si="5"/>
        <v>Low</v>
      </c>
    </row>
    <row r="98" spans="1:14" x14ac:dyDescent="0.3">
      <c r="A98" s="2">
        <v>46259</v>
      </c>
      <c r="B98" s="3">
        <v>2026</v>
      </c>
      <c r="C98" s="3" t="s">
        <v>24</v>
      </c>
      <c r="D98" s="3" t="s">
        <v>200</v>
      </c>
      <c r="E98" s="3" t="s">
        <v>130</v>
      </c>
      <c r="F98" s="3" t="s">
        <v>131</v>
      </c>
      <c r="G98" s="3" t="s">
        <v>120</v>
      </c>
      <c r="H98" s="3" t="s">
        <v>21</v>
      </c>
      <c r="I98" s="3">
        <v>4</v>
      </c>
      <c r="J98" s="3">
        <v>489.6</v>
      </c>
      <c r="K98" s="3">
        <v>1139.3800000000001</v>
      </c>
      <c r="L98" s="7">
        <f t="shared" si="3"/>
        <v>1958.4</v>
      </c>
      <c r="M98" s="7">
        <f t="shared" si="4"/>
        <v>819.02</v>
      </c>
      <c r="N98" t="str">
        <f t="shared" si="5"/>
        <v>Medium</v>
      </c>
    </row>
    <row r="99" spans="1:14" x14ac:dyDescent="0.3">
      <c r="A99" s="4">
        <v>46352</v>
      </c>
      <c r="B99" s="5">
        <v>2026</v>
      </c>
      <c r="C99" s="5" t="s">
        <v>100</v>
      </c>
      <c r="D99" s="5" t="s">
        <v>162</v>
      </c>
      <c r="E99" s="5" t="s">
        <v>127</v>
      </c>
      <c r="F99" s="5" t="s">
        <v>128</v>
      </c>
      <c r="G99" s="5" t="s">
        <v>120</v>
      </c>
      <c r="H99" s="5" t="s">
        <v>16</v>
      </c>
      <c r="I99" s="5">
        <v>18</v>
      </c>
      <c r="J99" s="5">
        <v>29.69</v>
      </c>
      <c r="K99" s="5">
        <v>370.29</v>
      </c>
      <c r="L99" s="7">
        <f t="shared" si="3"/>
        <v>534.42000000000007</v>
      </c>
      <c r="M99" s="7">
        <f t="shared" si="4"/>
        <v>164.13000000000005</v>
      </c>
      <c r="N99" t="str">
        <f t="shared" si="5"/>
        <v>Low</v>
      </c>
    </row>
    <row r="100" spans="1:14" x14ac:dyDescent="0.3">
      <c r="A100" s="2">
        <v>46026</v>
      </c>
      <c r="B100" s="3">
        <v>2026</v>
      </c>
      <c r="C100" s="3" t="s">
        <v>201</v>
      </c>
      <c r="D100" s="3" t="s">
        <v>202</v>
      </c>
      <c r="E100" s="3" t="s">
        <v>153</v>
      </c>
      <c r="F100" s="3" t="s">
        <v>154</v>
      </c>
      <c r="G100" s="3" t="s">
        <v>120</v>
      </c>
      <c r="H100" s="3" t="s">
        <v>39</v>
      </c>
      <c r="I100" s="3">
        <v>11</v>
      </c>
      <c r="J100" s="3">
        <v>450.42</v>
      </c>
      <c r="K100" s="3">
        <v>2791.75</v>
      </c>
      <c r="L100" s="7">
        <f t="shared" si="3"/>
        <v>4954.62</v>
      </c>
      <c r="M100" s="7">
        <f t="shared" si="4"/>
        <v>2162.87</v>
      </c>
      <c r="N100" t="str">
        <f t="shared" si="5"/>
        <v>High</v>
      </c>
    </row>
    <row r="101" spans="1:14" x14ac:dyDescent="0.3">
      <c r="A101" s="4">
        <v>46030</v>
      </c>
      <c r="B101" s="5">
        <v>2026</v>
      </c>
      <c r="C101" s="5" t="s">
        <v>17</v>
      </c>
      <c r="D101" s="5" t="s">
        <v>203</v>
      </c>
      <c r="E101" s="5" t="s">
        <v>136</v>
      </c>
      <c r="F101" s="5" t="s">
        <v>137</v>
      </c>
      <c r="G101" s="5" t="s">
        <v>120</v>
      </c>
      <c r="H101" s="5" t="s">
        <v>28</v>
      </c>
      <c r="I101" s="5">
        <v>5</v>
      </c>
      <c r="J101" s="5">
        <v>331.57</v>
      </c>
      <c r="K101" s="5">
        <v>1108.67</v>
      </c>
      <c r="L101" s="7">
        <f t="shared" si="3"/>
        <v>1657.85</v>
      </c>
      <c r="M101" s="7">
        <f t="shared" si="4"/>
        <v>549.17999999999984</v>
      </c>
      <c r="N101" t="str">
        <f t="shared" si="5"/>
        <v>Medium</v>
      </c>
    </row>
    <row r="102" spans="1:14" x14ac:dyDescent="0.3">
      <c r="A102" s="2">
        <v>46043</v>
      </c>
      <c r="B102" s="3">
        <v>2026</v>
      </c>
      <c r="C102" s="3" t="s">
        <v>106</v>
      </c>
      <c r="D102" s="3" t="s">
        <v>77</v>
      </c>
      <c r="E102" s="3" t="s">
        <v>133</v>
      </c>
      <c r="F102" s="3" t="s">
        <v>134</v>
      </c>
      <c r="G102" s="3" t="s">
        <v>120</v>
      </c>
      <c r="H102" s="3" t="s">
        <v>39</v>
      </c>
      <c r="I102" s="3">
        <v>9</v>
      </c>
      <c r="J102" s="3">
        <v>325.83999999999997</v>
      </c>
      <c r="K102" s="3">
        <v>1778.77</v>
      </c>
      <c r="L102" s="7">
        <f t="shared" si="3"/>
        <v>2932.56</v>
      </c>
      <c r="M102" s="7">
        <f t="shared" si="4"/>
        <v>1153.79</v>
      </c>
      <c r="N102" t="str">
        <f t="shared" si="5"/>
        <v>Medium</v>
      </c>
    </row>
    <row r="103" spans="1:14" x14ac:dyDescent="0.3">
      <c r="A103" s="4">
        <v>46256</v>
      </c>
      <c r="B103" s="5">
        <v>2026</v>
      </c>
      <c r="C103" s="5" t="s">
        <v>204</v>
      </c>
      <c r="D103" s="5" t="s">
        <v>185</v>
      </c>
      <c r="E103" s="5" t="s">
        <v>127</v>
      </c>
      <c r="F103" s="5" t="s">
        <v>128</v>
      </c>
      <c r="G103" s="5" t="s">
        <v>120</v>
      </c>
      <c r="H103" s="5" t="s">
        <v>39</v>
      </c>
      <c r="I103" s="5">
        <v>9</v>
      </c>
      <c r="J103" s="5">
        <v>380.67</v>
      </c>
      <c r="K103" s="5">
        <v>1940.48</v>
      </c>
      <c r="L103" s="7">
        <f t="shared" si="3"/>
        <v>3426.03</v>
      </c>
      <c r="M103" s="7">
        <f t="shared" si="4"/>
        <v>1485.5500000000002</v>
      </c>
      <c r="N103" t="str">
        <f t="shared" si="5"/>
        <v>High</v>
      </c>
    </row>
    <row r="104" spans="1:14" x14ac:dyDescent="0.3">
      <c r="A104" s="2">
        <v>46207</v>
      </c>
      <c r="B104" s="3">
        <v>2026</v>
      </c>
      <c r="C104" s="3" t="s">
        <v>161</v>
      </c>
      <c r="D104" s="3" t="s">
        <v>205</v>
      </c>
      <c r="E104" s="3" t="s">
        <v>155</v>
      </c>
      <c r="F104" s="3" t="s">
        <v>156</v>
      </c>
      <c r="G104" s="3" t="s">
        <v>120</v>
      </c>
      <c r="H104" s="3" t="s">
        <v>21</v>
      </c>
      <c r="I104" s="3">
        <v>7</v>
      </c>
      <c r="J104" s="3">
        <v>298.75</v>
      </c>
      <c r="K104" s="3">
        <v>1152.0899999999999</v>
      </c>
      <c r="L104" s="7">
        <f t="shared" si="3"/>
        <v>2091.25</v>
      </c>
      <c r="M104" s="7">
        <f t="shared" si="4"/>
        <v>939.16000000000008</v>
      </c>
      <c r="N104" t="str">
        <f t="shared" si="5"/>
        <v>Medium</v>
      </c>
    </row>
    <row r="105" spans="1:14" x14ac:dyDescent="0.3">
      <c r="A105" s="4">
        <v>46062</v>
      </c>
      <c r="B105" s="5">
        <v>2026</v>
      </c>
      <c r="C105" s="5" t="s">
        <v>206</v>
      </c>
      <c r="D105" s="5" t="s">
        <v>207</v>
      </c>
      <c r="E105" s="5" t="s">
        <v>155</v>
      </c>
      <c r="F105" s="5" t="s">
        <v>156</v>
      </c>
      <c r="G105" s="5" t="s">
        <v>120</v>
      </c>
      <c r="H105" s="5" t="s">
        <v>21</v>
      </c>
      <c r="I105" s="5">
        <v>11</v>
      </c>
      <c r="J105" s="5">
        <v>95.09</v>
      </c>
      <c r="K105" s="5">
        <v>765.52</v>
      </c>
      <c r="L105" s="7">
        <f t="shared" si="3"/>
        <v>1045.99</v>
      </c>
      <c r="M105" s="7">
        <f t="shared" si="4"/>
        <v>280.47000000000003</v>
      </c>
      <c r="N105" t="str">
        <f t="shared" si="5"/>
        <v>Low</v>
      </c>
    </row>
    <row r="106" spans="1:14" x14ac:dyDescent="0.3">
      <c r="A106" s="2">
        <v>46354</v>
      </c>
      <c r="B106" s="3">
        <v>2026</v>
      </c>
      <c r="C106" s="3" t="s">
        <v>192</v>
      </c>
      <c r="D106" s="3" t="s">
        <v>208</v>
      </c>
      <c r="E106" s="3" t="s">
        <v>139</v>
      </c>
      <c r="F106" s="3" t="s">
        <v>140</v>
      </c>
      <c r="G106" s="3" t="s">
        <v>120</v>
      </c>
      <c r="H106" s="3" t="s">
        <v>39</v>
      </c>
      <c r="I106" s="3">
        <v>5</v>
      </c>
      <c r="J106" s="3">
        <v>328.25</v>
      </c>
      <c r="K106" s="3">
        <v>952.99</v>
      </c>
      <c r="L106" s="7">
        <f t="shared" si="3"/>
        <v>1641.25</v>
      </c>
      <c r="M106" s="7">
        <f t="shared" si="4"/>
        <v>688.26</v>
      </c>
      <c r="N106" t="str">
        <f t="shared" si="5"/>
        <v>Medium</v>
      </c>
    </row>
    <row r="107" spans="1:14" x14ac:dyDescent="0.3">
      <c r="A107" s="4">
        <v>46023</v>
      </c>
      <c r="B107" s="5">
        <v>2026</v>
      </c>
      <c r="C107" s="5" t="s">
        <v>80</v>
      </c>
      <c r="D107" s="5" t="s">
        <v>25</v>
      </c>
      <c r="E107" s="5" t="s">
        <v>167</v>
      </c>
      <c r="F107" s="5" t="s">
        <v>168</v>
      </c>
      <c r="G107" s="5" t="s">
        <v>120</v>
      </c>
      <c r="H107" s="5" t="s">
        <v>28</v>
      </c>
      <c r="I107" s="5">
        <v>4</v>
      </c>
      <c r="J107" s="5">
        <v>440.45</v>
      </c>
      <c r="K107" s="5">
        <v>1165.46</v>
      </c>
      <c r="L107" s="7">
        <f t="shared" si="3"/>
        <v>1761.8</v>
      </c>
      <c r="M107" s="7">
        <f t="shared" si="4"/>
        <v>596.33999999999992</v>
      </c>
      <c r="N107" t="str">
        <f t="shared" si="5"/>
        <v>Medium</v>
      </c>
    </row>
    <row r="108" spans="1:14" x14ac:dyDescent="0.3">
      <c r="A108" s="2">
        <v>46038</v>
      </c>
      <c r="B108" s="3">
        <v>2026</v>
      </c>
      <c r="C108" s="3" t="s">
        <v>94</v>
      </c>
      <c r="D108" s="3" t="s">
        <v>129</v>
      </c>
      <c r="E108" s="3" t="s">
        <v>123</v>
      </c>
      <c r="F108" s="3" t="s">
        <v>124</v>
      </c>
      <c r="G108" s="3" t="s">
        <v>120</v>
      </c>
      <c r="H108" s="3" t="s">
        <v>21</v>
      </c>
      <c r="I108" s="3">
        <v>10</v>
      </c>
      <c r="J108" s="3">
        <v>394.46</v>
      </c>
      <c r="K108" s="3">
        <v>2649.43</v>
      </c>
      <c r="L108" s="7">
        <f t="shared" si="3"/>
        <v>3944.6</v>
      </c>
      <c r="M108" s="7">
        <f t="shared" si="4"/>
        <v>1295.17</v>
      </c>
      <c r="N108" t="str">
        <f t="shared" si="5"/>
        <v>High</v>
      </c>
    </row>
    <row r="109" spans="1:14" x14ac:dyDescent="0.3">
      <c r="A109" s="4">
        <v>46149</v>
      </c>
      <c r="B109" s="5">
        <v>2026</v>
      </c>
      <c r="C109" s="5" t="s">
        <v>55</v>
      </c>
      <c r="D109" s="5" t="s">
        <v>209</v>
      </c>
      <c r="E109" s="5" t="s">
        <v>155</v>
      </c>
      <c r="F109" s="5" t="s">
        <v>156</v>
      </c>
      <c r="G109" s="5" t="s">
        <v>120</v>
      </c>
      <c r="H109" s="5" t="s">
        <v>39</v>
      </c>
      <c r="I109" s="5">
        <v>14</v>
      </c>
      <c r="J109" s="5">
        <v>280.11</v>
      </c>
      <c r="K109" s="5">
        <v>2820.56</v>
      </c>
      <c r="L109" s="7">
        <f t="shared" si="3"/>
        <v>3921.54</v>
      </c>
      <c r="M109" s="7">
        <f t="shared" si="4"/>
        <v>1100.98</v>
      </c>
      <c r="N109" t="str">
        <f t="shared" si="5"/>
        <v>High</v>
      </c>
    </row>
    <row r="110" spans="1:14" x14ac:dyDescent="0.3">
      <c r="A110" s="2">
        <v>46379</v>
      </c>
      <c r="B110" s="3">
        <v>2026</v>
      </c>
      <c r="C110" s="3" t="s">
        <v>57</v>
      </c>
      <c r="D110" s="3" t="s">
        <v>54</v>
      </c>
      <c r="E110" s="3" t="s">
        <v>130</v>
      </c>
      <c r="F110" s="3" t="s">
        <v>131</v>
      </c>
      <c r="G110" s="3" t="s">
        <v>120</v>
      </c>
      <c r="H110" s="3" t="s">
        <v>28</v>
      </c>
      <c r="I110" s="3">
        <v>17</v>
      </c>
      <c r="J110" s="3">
        <v>113.1</v>
      </c>
      <c r="K110" s="3">
        <v>1170.98</v>
      </c>
      <c r="L110" s="7">
        <f t="shared" si="3"/>
        <v>1922.6999999999998</v>
      </c>
      <c r="M110" s="7">
        <f t="shared" si="4"/>
        <v>751.7199999999998</v>
      </c>
      <c r="N110" t="str">
        <f t="shared" si="5"/>
        <v>Medium</v>
      </c>
    </row>
    <row r="111" spans="1:14" x14ac:dyDescent="0.3">
      <c r="A111" s="4">
        <v>46222</v>
      </c>
      <c r="B111" s="5">
        <v>2026</v>
      </c>
      <c r="C111" s="5" t="s">
        <v>96</v>
      </c>
      <c r="D111" s="5" t="s">
        <v>210</v>
      </c>
      <c r="E111" s="5" t="s">
        <v>139</v>
      </c>
      <c r="F111" s="5" t="s">
        <v>140</v>
      </c>
      <c r="G111" s="5" t="s">
        <v>120</v>
      </c>
      <c r="H111" s="5" t="s">
        <v>16</v>
      </c>
      <c r="I111" s="5">
        <v>18</v>
      </c>
      <c r="J111" s="5">
        <v>245.96</v>
      </c>
      <c r="K111" s="5">
        <v>2545.2199999999998</v>
      </c>
      <c r="L111" s="7">
        <f t="shared" si="3"/>
        <v>4427.28</v>
      </c>
      <c r="M111" s="7">
        <f t="shared" si="4"/>
        <v>1882.06</v>
      </c>
      <c r="N111" t="str">
        <f t="shared" si="5"/>
        <v>High</v>
      </c>
    </row>
    <row r="112" spans="1:14" x14ac:dyDescent="0.3">
      <c r="A112" s="2">
        <v>46096</v>
      </c>
      <c r="B112" s="3">
        <v>2026</v>
      </c>
      <c r="C112" s="3" t="s">
        <v>190</v>
      </c>
      <c r="D112" s="3" t="s">
        <v>211</v>
      </c>
      <c r="E112" s="3" t="s">
        <v>133</v>
      </c>
      <c r="F112" s="3" t="s">
        <v>134</v>
      </c>
      <c r="G112" s="3" t="s">
        <v>120</v>
      </c>
      <c r="H112" s="3" t="s">
        <v>28</v>
      </c>
      <c r="I112" s="3">
        <v>18</v>
      </c>
      <c r="J112" s="3">
        <v>159.83000000000001</v>
      </c>
      <c r="K112" s="3">
        <v>2395.36</v>
      </c>
      <c r="L112" s="7">
        <f t="shared" si="3"/>
        <v>2876.94</v>
      </c>
      <c r="M112" s="7">
        <f t="shared" si="4"/>
        <v>481.57999999999993</v>
      </c>
      <c r="N112" t="str">
        <f t="shared" si="5"/>
        <v>Medium</v>
      </c>
    </row>
    <row r="113" spans="1:14" x14ac:dyDescent="0.3">
      <c r="A113" s="4">
        <v>46356</v>
      </c>
      <c r="B113" s="5">
        <v>2026</v>
      </c>
      <c r="C113" s="5" t="s">
        <v>188</v>
      </c>
      <c r="D113" s="5" t="s">
        <v>62</v>
      </c>
      <c r="E113" s="5" t="s">
        <v>145</v>
      </c>
      <c r="F113" s="5" t="s">
        <v>146</v>
      </c>
      <c r="G113" s="5" t="s">
        <v>120</v>
      </c>
      <c r="H113" s="5" t="s">
        <v>39</v>
      </c>
      <c r="I113" s="5">
        <v>4</v>
      </c>
      <c r="J113" s="5">
        <v>414.65</v>
      </c>
      <c r="K113" s="5">
        <v>1069.78</v>
      </c>
      <c r="L113" s="7">
        <f t="shared" si="3"/>
        <v>1658.6</v>
      </c>
      <c r="M113" s="7">
        <f t="shared" si="4"/>
        <v>588.81999999999994</v>
      </c>
      <c r="N113" t="str">
        <f t="shared" si="5"/>
        <v>Medium</v>
      </c>
    </row>
    <row r="114" spans="1:14" x14ac:dyDescent="0.3">
      <c r="A114" s="2">
        <v>46116</v>
      </c>
      <c r="B114" s="3">
        <v>2026</v>
      </c>
      <c r="C114" s="3" t="s">
        <v>212</v>
      </c>
      <c r="D114" s="3" t="s">
        <v>213</v>
      </c>
      <c r="E114" s="3" t="s">
        <v>136</v>
      </c>
      <c r="F114" s="3" t="s">
        <v>137</v>
      </c>
      <c r="G114" s="3" t="s">
        <v>120</v>
      </c>
      <c r="H114" s="3" t="s">
        <v>21</v>
      </c>
      <c r="I114" s="3">
        <v>11</v>
      </c>
      <c r="J114" s="3">
        <v>451.43</v>
      </c>
      <c r="K114" s="3">
        <v>3179.85</v>
      </c>
      <c r="L114" s="7">
        <f t="shared" si="3"/>
        <v>4965.7300000000005</v>
      </c>
      <c r="M114" s="7">
        <f t="shared" si="4"/>
        <v>1785.8800000000006</v>
      </c>
      <c r="N114" t="str">
        <f t="shared" si="5"/>
        <v>High</v>
      </c>
    </row>
    <row r="115" spans="1:14" x14ac:dyDescent="0.3">
      <c r="A115" s="4">
        <v>46229</v>
      </c>
      <c r="B115" s="5">
        <v>2026</v>
      </c>
      <c r="C115" s="5" t="s">
        <v>214</v>
      </c>
      <c r="D115" s="5" t="s">
        <v>215</v>
      </c>
      <c r="E115" s="5" t="s">
        <v>136</v>
      </c>
      <c r="F115" s="5" t="s">
        <v>137</v>
      </c>
      <c r="G115" s="5" t="s">
        <v>120</v>
      </c>
      <c r="H115" s="5" t="s">
        <v>21</v>
      </c>
      <c r="I115" s="5">
        <v>2</v>
      </c>
      <c r="J115" s="5">
        <v>216</v>
      </c>
      <c r="K115" s="5">
        <v>240.41</v>
      </c>
      <c r="L115" s="7">
        <f t="shared" si="3"/>
        <v>432</v>
      </c>
      <c r="M115" s="7">
        <f t="shared" si="4"/>
        <v>191.59</v>
      </c>
      <c r="N115" t="str">
        <f t="shared" si="5"/>
        <v>Low</v>
      </c>
    </row>
    <row r="116" spans="1:14" x14ac:dyDescent="0.3">
      <c r="A116" s="2">
        <v>46227</v>
      </c>
      <c r="B116" s="3">
        <v>2026</v>
      </c>
      <c r="C116" s="3" t="s">
        <v>68</v>
      </c>
      <c r="D116" s="3" t="s">
        <v>93</v>
      </c>
      <c r="E116" s="3" t="s">
        <v>141</v>
      </c>
      <c r="F116" s="3" t="s">
        <v>142</v>
      </c>
      <c r="G116" s="3" t="s">
        <v>120</v>
      </c>
      <c r="H116" s="3" t="s">
        <v>39</v>
      </c>
      <c r="I116" s="3">
        <v>9</v>
      </c>
      <c r="J116" s="3">
        <v>424.67</v>
      </c>
      <c r="K116" s="3">
        <v>2260.39</v>
      </c>
      <c r="L116" s="7">
        <f t="shared" si="3"/>
        <v>3822.03</v>
      </c>
      <c r="M116" s="7">
        <f t="shared" si="4"/>
        <v>1561.6400000000003</v>
      </c>
      <c r="N116" t="str">
        <f t="shared" si="5"/>
        <v>High</v>
      </c>
    </row>
    <row r="117" spans="1:14" x14ac:dyDescent="0.3">
      <c r="A117" s="4">
        <v>46248</v>
      </c>
      <c r="B117" s="5">
        <v>2026</v>
      </c>
      <c r="C117" s="5" t="s">
        <v>82</v>
      </c>
      <c r="D117" s="5" t="s">
        <v>216</v>
      </c>
      <c r="E117" s="5" t="s">
        <v>123</v>
      </c>
      <c r="F117" s="5" t="s">
        <v>124</v>
      </c>
      <c r="G117" s="5" t="s">
        <v>120</v>
      </c>
      <c r="H117" s="5" t="s">
        <v>28</v>
      </c>
      <c r="I117" s="5">
        <v>1</v>
      </c>
      <c r="J117" s="5">
        <v>294.76</v>
      </c>
      <c r="K117" s="5">
        <v>220.96</v>
      </c>
      <c r="L117" s="7">
        <f t="shared" si="3"/>
        <v>294.76</v>
      </c>
      <c r="M117" s="7">
        <f t="shared" si="4"/>
        <v>73.799999999999983</v>
      </c>
      <c r="N117" t="str">
        <f t="shared" si="5"/>
        <v>Low</v>
      </c>
    </row>
    <row r="118" spans="1:14" x14ac:dyDescent="0.3">
      <c r="A118" s="2">
        <v>46291</v>
      </c>
      <c r="B118" s="3">
        <v>2026</v>
      </c>
      <c r="C118" s="3" t="s">
        <v>193</v>
      </c>
      <c r="D118" s="3" t="s">
        <v>63</v>
      </c>
      <c r="E118" s="3" t="s">
        <v>123</v>
      </c>
      <c r="F118" s="3" t="s">
        <v>124</v>
      </c>
      <c r="G118" s="3" t="s">
        <v>120</v>
      </c>
      <c r="H118" s="3" t="s">
        <v>39</v>
      </c>
      <c r="I118" s="3">
        <v>16</v>
      </c>
      <c r="J118" s="3">
        <v>260.06</v>
      </c>
      <c r="K118" s="3">
        <v>2550.31</v>
      </c>
      <c r="L118" s="7">
        <f t="shared" si="3"/>
        <v>4160.96</v>
      </c>
      <c r="M118" s="7">
        <f t="shared" si="4"/>
        <v>1610.65</v>
      </c>
      <c r="N118" t="str">
        <f t="shared" si="5"/>
        <v>High</v>
      </c>
    </row>
    <row r="119" spans="1:14" x14ac:dyDescent="0.3">
      <c r="A119" s="4">
        <v>46385</v>
      </c>
      <c r="B119" s="5">
        <v>2026</v>
      </c>
      <c r="C119" s="5" t="s">
        <v>106</v>
      </c>
      <c r="D119" s="5" t="s">
        <v>67</v>
      </c>
      <c r="E119" s="5" t="s">
        <v>141</v>
      </c>
      <c r="F119" s="5" t="s">
        <v>142</v>
      </c>
      <c r="G119" s="5" t="s">
        <v>120</v>
      </c>
      <c r="H119" s="5" t="s">
        <v>21</v>
      </c>
      <c r="I119" s="5">
        <v>11</v>
      </c>
      <c r="J119" s="5">
        <v>368.9</v>
      </c>
      <c r="K119" s="5">
        <v>2709.36</v>
      </c>
      <c r="L119" s="7">
        <f t="shared" si="3"/>
        <v>4057.8999999999996</v>
      </c>
      <c r="M119" s="7">
        <f t="shared" si="4"/>
        <v>1348.5399999999995</v>
      </c>
      <c r="N119" t="str">
        <f t="shared" si="5"/>
        <v>High</v>
      </c>
    </row>
    <row r="120" spans="1:14" x14ac:dyDescent="0.3">
      <c r="A120" s="2">
        <v>46382</v>
      </c>
      <c r="B120" s="3">
        <v>2026</v>
      </c>
      <c r="C120" s="3" t="s">
        <v>24</v>
      </c>
      <c r="D120" s="3" t="s">
        <v>217</v>
      </c>
      <c r="E120" s="3" t="s">
        <v>141</v>
      </c>
      <c r="F120" s="3" t="s">
        <v>142</v>
      </c>
      <c r="G120" s="3" t="s">
        <v>120</v>
      </c>
      <c r="H120" s="3" t="s">
        <v>28</v>
      </c>
      <c r="I120" s="3">
        <v>12</v>
      </c>
      <c r="J120" s="3">
        <v>115.44</v>
      </c>
      <c r="K120" s="3">
        <v>1003.02</v>
      </c>
      <c r="L120" s="7">
        <f t="shared" si="3"/>
        <v>1385.28</v>
      </c>
      <c r="M120" s="7">
        <f t="shared" si="4"/>
        <v>382.26</v>
      </c>
      <c r="N120" t="str">
        <f t="shared" si="5"/>
        <v>Low</v>
      </c>
    </row>
    <row r="121" spans="1:14" x14ac:dyDescent="0.3">
      <c r="A121" s="4">
        <v>46151</v>
      </c>
      <c r="B121" s="5">
        <v>2026</v>
      </c>
      <c r="C121" s="5" t="s">
        <v>96</v>
      </c>
      <c r="D121" s="5" t="s">
        <v>218</v>
      </c>
      <c r="E121" s="5" t="s">
        <v>127</v>
      </c>
      <c r="F121" s="5" t="s">
        <v>128</v>
      </c>
      <c r="G121" s="5" t="s">
        <v>120</v>
      </c>
      <c r="H121" s="5" t="s">
        <v>21</v>
      </c>
      <c r="I121" s="5">
        <v>6</v>
      </c>
      <c r="J121" s="5">
        <v>260.3</v>
      </c>
      <c r="K121" s="5">
        <v>958.79</v>
      </c>
      <c r="L121" s="7">
        <f t="shared" si="3"/>
        <v>1561.8000000000002</v>
      </c>
      <c r="M121" s="7">
        <f t="shared" si="4"/>
        <v>603.01000000000022</v>
      </c>
      <c r="N121" t="str">
        <f t="shared" si="5"/>
        <v>Medium</v>
      </c>
    </row>
    <row r="122" spans="1:14" x14ac:dyDescent="0.3">
      <c r="A122" s="2">
        <v>46343</v>
      </c>
      <c r="B122" s="3">
        <v>2026</v>
      </c>
      <c r="C122" s="3" t="s">
        <v>47</v>
      </c>
      <c r="D122" s="3" t="s">
        <v>219</v>
      </c>
      <c r="E122" s="3" t="s">
        <v>136</v>
      </c>
      <c r="F122" s="3" t="s">
        <v>137</v>
      </c>
      <c r="G122" s="3" t="s">
        <v>120</v>
      </c>
      <c r="H122" s="3" t="s">
        <v>16</v>
      </c>
      <c r="I122" s="3">
        <v>9</v>
      </c>
      <c r="J122" s="3">
        <v>472.84</v>
      </c>
      <c r="K122" s="3">
        <v>3615.86</v>
      </c>
      <c r="L122" s="7">
        <f t="shared" si="3"/>
        <v>4255.5599999999995</v>
      </c>
      <c r="M122" s="7">
        <f t="shared" si="4"/>
        <v>639.69999999999936</v>
      </c>
      <c r="N122" t="str">
        <f t="shared" si="5"/>
        <v>High</v>
      </c>
    </row>
    <row r="123" spans="1:14" x14ac:dyDescent="0.3">
      <c r="A123" s="4">
        <v>46367</v>
      </c>
      <c r="B123" s="5">
        <v>2026</v>
      </c>
      <c r="C123" s="5" t="s">
        <v>76</v>
      </c>
      <c r="D123" s="5" t="s">
        <v>62</v>
      </c>
      <c r="E123" s="5" t="s">
        <v>139</v>
      </c>
      <c r="F123" s="5" t="s">
        <v>140</v>
      </c>
      <c r="G123" s="5" t="s">
        <v>120</v>
      </c>
      <c r="H123" s="5" t="s">
        <v>16</v>
      </c>
      <c r="I123" s="5">
        <v>13</v>
      </c>
      <c r="J123" s="5">
        <v>359.21</v>
      </c>
      <c r="K123" s="5">
        <v>2853.15</v>
      </c>
      <c r="L123" s="7">
        <f t="shared" si="3"/>
        <v>4669.7299999999996</v>
      </c>
      <c r="M123" s="7">
        <f t="shared" si="4"/>
        <v>1816.5799999999995</v>
      </c>
      <c r="N123" t="str">
        <f t="shared" si="5"/>
        <v>High</v>
      </c>
    </row>
    <row r="124" spans="1:14" x14ac:dyDescent="0.3">
      <c r="A124" s="2">
        <v>46063</v>
      </c>
      <c r="B124" s="3">
        <v>2026</v>
      </c>
      <c r="C124" s="3" t="s">
        <v>193</v>
      </c>
      <c r="D124" s="3" t="s">
        <v>85</v>
      </c>
      <c r="E124" s="3" t="s">
        <v>141</v>
      </c>
      <c r="F124" s="3" t="s">
        <v>142</v>
      </c>
      <c r="G124" s="3" t="s">
        <v>120</v>
      </c>
      <c r="H124" s="3" t="s">
        <v>16</v>
      </c>
      <c r="I124" s="3">
        <v>10</v>
      </c>
      <c r="J124" s="3">
        <v>480.68</v>
      </c>
      <c r="K124" s="3">
        <v>3956.1</v>
      </c>
      <c r="L124" s="7">
        <f t="shared" si="3"/>
        <v>4806.8</v>
      </c>
      <c r="M124" s="7">
        <f t="shared" si="4"/>
        <v>850.70000000000027</v>
      </c>
      <c r="N124" t="str">
        <f t="shared" si="5"/>
        <v>High</v>
      </c>
    </row>
    <row r="125" spans="1:14" x14ac:dyDescent="0.3">
      <c r="A125" s="4">
        <v>46115</v>
      </c>
      <c r="B125" s="5">
        <v>2026</v>
      </c>
      <c r="C125" s="5" t="s">
        <v>158</v>
      </c>
      <c r="D125" s="5" t="s">
        <v>220</v>
      </c>
      <c r="E125" s="5" t="s">
        <v>118</v>
      </c>
      <c r="F125" s="5" t="s">
        <v>119</v>
      </c>
      <c r="G125" s="5" t="s">
        <v>120</v>
      </c>
      <c r="H125" s="5" t="s">
        <v>28</v>
      </c>
      <c r="I125" s="5">
        <v>18</v>
      </c>
      <c r="J125" s="5">
        <v>231.04</v>
      </c>
      <c r="K125" s="5">
        <v>3119.07</v>
      </c>
      <c r="L125" s="7">
        <f t="shared" si="3"/>
        <v>4158.72</v>
      </c>
      <c r="M125" s="7">
        <f t="shared" si="4"/>
        <v>1039.6500000000001</v>
      </c>
      <c r="N125" t="str">
        <f t="shared" si="5"/>
        <v>High</v>
      </c>
    </row>
    <row r="126" spans="1:14" x14ac:dyDescent="0.3">
      <c r="A126" s="2">
        <v>46361</v>
      </c>
      <c r="B126" s="3">
        <v>2026</v>
      </c>
      <c r="C126" s="3" t="s">
        <v>169</v>
      </c>
      <c r="D126" s="3" t="s">
        <v>221</v>
      </c>
      <c r="E126" s="3" t="s">
        <v>123</v>
      </c>
      <c r="F126" s="3" t="s">
        <v>124</v>
      </c>
      <c r="G126" s="3" t="s">
        <v>120</v>
      </c>
      <c r="H126" s="3" t="s">
        <v>28</v>
      </c>
      <c r="I126" s="3">
        <v>6</v>
      </c>
      <c r="J126" s="3">
        <v>81.86</v>
      </c>
      <c r="K126" s="3">
        <v>306.73</v>
      </c>
      <c r="L126" s="7">
        <f t="shared" si="3"/>
        <v>491.15999999999997</v>
      </c>
      <c r="M126" s="7">
        <f t="shared" si="4"/>
        <v>184.42999999999995</v>
      </c>
      <c r="N126" t="str">
        <f t="shared" si="5"/>
        <v>Low</v>
      </c>
    </row>
    <row r="127" spans="1:14" x14ac:dyDescent="0.3">
      <c r="A127" s="4">
        <v>46348</v>
      </c>
      <c r="B127" s="5">
        <v>2026</v>
      </c>
      <c r="C127" s="5" t="s">
        <v>104</v>
      </c>
      <c r="D127" s="5" t="s">
        <v>222</v>
      </c>
      <c r="E127" s="5" t="s">
        <v>118</v>
      </c>
      <c r="F127" s="5" t="s">
        <v>119</v>
      </c>
      <c r="G127" s="5" t="s">
        <v>120</v>
      </c>
      <c r="H127" s="5" t="s">
        <v>39</v>
      </c>
      <c r="I127" s="5">
        <v>15</v>
      </c>
      <c r="J127" s="5">
        <v>177.75</v>
      </c>
      <c r="K127" s="5">
        <v>1769.54</v>
      </c>
      <c r="L127" s="7">
        <f t="shared" si="3"/>
        <v>2666.25</v>
      </c>
      <c r="M127" s="7">
        <f t="shared" si="4"/>
        <v>896.71</v>
      </c>
      <c r="N127" t="str">
        <f t="shared" si="5"/>
        <v>Medium</v>
      </c>
    </row>
    <row r="128" spans="1:14" x14ac:dyDescent="0.3">
      <c r="A128" s="2">
        <v>46048</v>
      </c>
      <c r="B128" s="3">
        <v>2026</v>
      </c>
      <c r="C128" s="3" t="s">
        <v>223</v>
      </c>
      <c r="D128" s="3" t="s">
        <v>224</v>
      </c>
      <c r="E128" s="3" t="s">
        <v>130</v>
      </c>
      <c r="F128" s="3" t="s">
        <v>131</v>
      </c>
      <c r="G128" s="3" t="s">
        <v>120</v>
      </c>
      <c r="H128" s="3" t="s">
        <v>21</v>
      </c>
      <c r="I128" s="3">
        <v>13</v>
      </c>
      <c r="J128" s="3">
        <v>146.93</v>
      </c>
      <c r="K128" s="3">
        <v>1117.3</v>
      </c>
      <c r="L128" s="7">
        <f t="shared" si="3"/>
        <v>1910.0900000000001</v>
      </c>
      <c r="M128" s="7">
        <f t="shared" si="4"/>
        <v>792.79000000000019</v>
      </c>
      <c r="N128" t="str">
        <f t="shared" si="5"/>
        <v>Medium</v>
      </c>
    </row>
    <row r="129" spans="1:14" x14ac:dyDescent="0.3">
      <c r="A129" s="4">
        <v>46055</v>
      </c>
      <c r="B129" s="5">
        <v>2026</v>
      </c>
      <c r="C129" s="5" t="s">
        <v>70</v>
      </c>
      <c r="D129" s="5" t="s">
        <v>172</v>
      </c>
      <c r="E129" s="5" t="s">
        <v>139</v>
      </c>
      <c r="F129" s="5" t="s">
        <v>140</v>
      </c>
      <c r="G129" s="5" t="s">
        <v>120</v>
      </c>
      <c r="H129" s="5" t="s">
        <v>39</v>
      </c>
      <c r="I129" s="5">
        <v>10</v>
      </c>
      <c r="J129" s="5">
        <v>117.79</v>
      </c>
      <c r="K129" s="5">
        <v>835.09</v>
      </c>
      <c r="L129" s="7">
        <f t="shared" si="3"/>
        <v>1177.9000000000001</v>
      </c>
      <c r="M129" s="7">
        <f t="shared" si="4"/>
        <v>342.81000000000006</v>
      </c>
      <c r="N129" t="str">
        <f t="shared" si="5"/>
        <v>Low</v>
      </c>
    </row>
    <row r="130" spans="1:14" x14ac:dyDescent="0.3">
      <c r="A130" s="2">
        <v>46159</v>
      </c>
      <c r="B130" s="3">
        <v>2026</v>
      </c>
      <c r="C130" s="3" t="s">
        <v>92</v>
      </c>
      <c r="D130" s="3" t="s">
        <v>69</v>
      </c>
      <c r="E130" s="3" t="s">
        <v>141</v>
      </c>
      <c r="F130" s="3" t="s">
        <v>142</v>
      </c>
      <c r="G130" s="3" t="s">
        <v>120</v>
      </c>
      <c r="H130" s="3" t="s">
        <v>16</v>
      </c>
      <c r="I130" s="3">
        <v>1</v>
      </c>
      <c r="J130" s="3">
        <v>67.150000000000006</v>
      </c>
      <c r="K130" s="3">
        <v>39.19</v>
      </c>
      <c r="L130" s="7">
        <f t="shared" si="3"/>
        <v>67.150000000000006</v>
      </c>
      <c r="M130" s="7">
        <f t="shared" si="4"/>
        <v>27.960000000000008</v>
      </c>
      <c r="N130" t="str">
        <f t="shared" si="5"/>
        <v>Low</v>
      </c>
    </row>
    <row r="131" spans="1:14" x14ac:dyDescent="0.3">
      <c r="A131" s="4">
        <v>46209</v>
      </c>
      <c r="B131" s="5">
        <v>2026</v>
      </c>
      <c r="C131" s="5" t="s">
        <v>11</v>
      </c>
      <c r="D131" s="5" t="s">
        <v>225</v>
      </c>
      <c r="E131" s="5" t="s">
        <v>139</v>
      </c>
      <c r="F131" s="5" t="s">
        <v>140</v>
      </c>
      <c r="G131" s="5" t="s">
        <v>120</v>
      </c>
      <c r="H131" s="5" t="s">
        <v>28</v>
      </c>
      <c r="I131" s="5">
        <v>4</v>
      </c>
      <c r="J131" s="5">
        <v>160.66999999999999</v>
      </c>
      <c r="K131" s="5">
        <v>492.91</v>
      </c>
      <c r="L131" s="7">
        <f t="shared" ref="L131:L194" si="6">I131*J131</f>
        <v>642.67999999999995</v>
      </c>
      <c r="M131" s="7">
        <f t="shared" ref="M131:M194" si="7">L131-K131</f>
        <v>149.76999999999992</v>
      </c>
      <c r="N131" t="str">
        <f t="shared" ref="N131:N194" si="8">IF(L131&gt;=3000,"High",IF(L131&gt;=1500,"Medium","Low"))</f>
        <v>Low</v>
      </c>
    </row>
    <row r="132" spans="1:14" x14ac:dyDescent="0.3">
      <c r="A132" s="2">
        <v>46063</v>
      </c>
      <c r="B132" s="3">
        <v>2026</v>
      </c>
      <c r="C132" s="3" t="s">
        <v>57</v>
      </c>
      <c r="D132" s="3" t="s">
        <v>85</v>
      </c>
      <c r="E132" s="3" t="s">
        <v>118</v>
      </c>
      <c r="F132" s="3" t="s">
        <v>119</v>
      </c>
      <c r="G132" s="3" t="s">
        <v>120</v>
      </c>
      <c r="H132" s="3" t="s">
        <v>28</v>
      </c>
      <c r="I132" s="3">
        <v>14</v>
      </c>
      <c r="J132" s="3">
        <v>87.8</v>
      </c>
      <c r="K132" s="3">
        <v>814.17</v>
      </c>
      <c r="L132" s="7">
        <f t="shared" si="6"/>
        <v>1229.2</v>
      </c>
      <c r="M132" s="7">
        <f t="shared" si="7"/>
        <v>415.03000000000009</v>
      </c>
      <c r="N132" t="str">
        <f t="shared" si="8"/>
        <v>Low</v>
      </c>
    </row>
    <row r="133" spans="1:14" x14ac:dyDescent="0.3">
      <c r="A133" s="4">
        <v>46188</v>
      </c>
      <c r="B133" s="5">
        <v>2026</v>
      </c>
      <c r="C133" s="5" t="s">
        <v>24</v>
      </c>
      <c r="D133" s="5" t="s">
        <v>194</v>
      </c>
      <c r="E133" s="5" t="s">
        <v>155</v>
      </c>
      <c r="F133" s="5" t="s">
        <v>156</v>
      </c>
      <c r="G133" s="5" t="s">
        <v>120</v>
      </c>
      <c r="H133" s="5" t="s">
        <v>39</v>
      </c>
      <c r="I133" s="5">
        <v>7</v>
      </c>
      <c r="J133" s="5">
        <v>48.79</v>
      </c>
      <c r="K133" s="5">
        <v>226</v>
      </c>
      <c r="L133" s="7">
        <f t="shared" si="6"/>
        <v>341.53</v>
      </c>
      <c r="M133" s="7">
        <f t="shared" si="7"/>
        <v>115.52999999999997</v>
      </c>
      <c r="N133" t="str">
        <f t="shared" si="8"/>
        <v>Low</v>
      </c>
    </row>
    <row r="134" spans="1:14" x14ac:dyDescent="0.3">
      <c r="A134" s="2">
        <v>46157</v>
      </c>
      <c r="B134" s="3">
        <v>2026</v>
      </c>
      <c r="C134" s="3" t="s">
        <v>186</v>
      </c>
      <c r="D134" s="3" t="s">
        <v>185</v>
      </c>
      <c r="E134" s="3" t="s">
        <v>136</v>
      </c>
      <c r="F134" s="3" t="s">
        <v>137</v>
      </c>
      <c r="G134" s="3" t="s">
        <v>120</v>
      </c>
      <c r="H134" s="3" t="s">
        <v>28</v>
      </c>
      <c r="I134" s="3">
        <v>9</v>
      </c>
      <c r="J134" s="3">
        <v>115.23</v>
      </c>
      <c r="K134" s="3">
        <v>634.88</v>
      </c>
      <c r="L134" s="7">
        <f t="shared" si="6"/>
        <v>1037.07</v>
      </c>
      <c r="M134" s="7">
        <f t="shared" si="7"/>
        <v>402.18999999999994</v>
      </c>
      <c r="N134" t="str">
        <f t="shared" si="8"/>
        <v>Low</v>
      </c>
    </row>
    <row r="135" spans="1:14" x14ac:dyDescent="0.3">
      <c r="A135" s="4">
        <v>46139</v>
      </c>
      <c r="B135" s="5">
        <v>2026</v>
      </c>
      <c r="C135" s="5" t="s">
        <v>195</v>
      </c>
      <c r="D135" s="5" t="s">
        <v>164</v>
      </c>
      <c r="E135" s="5" t="s">
        <v>118</v>
      </c>
      <c r="F135" s="5" t="s">
        <v>119</v>
      </c>
      <c r="G135" s="5" t="s">
        <v>120</v>
      </c>
      <c r="H135" s="5" t="s">
        <v>16</v>
      </c>
      <c r="I135" s="5">
        <v>13</v>
      </c>
      <c r="J135" s="5">
        <v>151.27000000000001</v>
      </c>
      <c r="K135" s="5">
        <v>1320.47</v>
      </c>
      <c r="L135" s="7">
        <f t="shared" si="6"/>
        <v>1966.5100000000002</v>
      </c>
      <c r="M135" s="7">
        <f t="shared" si="7"/>
        <v>646.04000000000019</v>
      </c>
      <c r="N135" t="str">
        <f t="shared" si="8"/>
        <v>Medium</v>
      </c>
    </row>
    <row r="136" spans="1:14" x14ac:dyDescent="0.3">
      <c r="A136" s="2">
        <v>46139</v>
      </c>
      <c r="B136" s="3">
        <v>2026</v>
      </c>
      <c r="C136" s="3" t="s">
        <v>226</v>
      </c>
      <c r="D136" s="3" t="s">
        <v>227</v>
      </c>
      <c r="E136" s="3" t="s">
        <v>153</v>
      </c>
      <c r="F136" s="3" t="s">
        <v>154</v>
      </c>
      <c r="G136" s="3" t="s">
        <v>120</v>
      </c>
      <c r="H136" s="3" t="s">
        <v>39</v>
      </c>
      <c r="I136" s="3">
        <v>12</v>
      </c>
      <c r="J136" s="3">
        <v>79.34</v>
      </c>
      <c r="K136" s="3">
        <v>499.35</v>
      </c>
      <c r="L136" s="7">
        <f t="shared" si="6"/>
        <v>952.08</v>
      </c>
      <c r="M136" s="7">
        <f t="shared" si="7"/>
        <v>452.73</v>
      </c>
      <c r="N136" t="str">
        <f t="shared" si="8"/>
        <v>Low</v>
      </c>
    </row>
    <row r="137" spans="1:14" x14ac:dyDescent="0.3">
      <c r="A137" s="4">
        <v>46387</v>
      </c>
      <c r="B137" s="5">
        <v>2026</v>
      </c>
      <c r="C137" s="5" t="s">
        <v>177</v>
      </c>
      <c r="D137" s="5" t="s">
        <v>228</v>
      </c>
      <c r="E137" s="5" t="s">
        <v>123</v>
      </c>
      <c r="F137" s="5" t="s">
        <v>124</v>
      </c>
      <c r="G137" s="5" t="s">
        <v>120</v>
      </c>
      <c r="H137" s="5" t="s">
        <v>21</v>
      </c>
      <c r="I137" s="5">
        <v>2</v>
      </c>
      <c r="J137" s="5">
        <v>87.64</v>
      </c>
      <c r="K137" s="5">
        <v>108.57</v>
      </c>
      <c r="L137" s="7">
        <f t="shared" si="6"/>
        <v>175.28</v>
      </c>
      <c r="M137" s="7">
        <f t="shared" si="7"/>
        <v>66.710000000000008</v>
      </c>
      <c r="N137" t="str">
        <f t="shared" si="8"/>
        <v>Low</v>
      </c>
    </row>
    <row r="138" spans="1:14" x14ac:dyDescent="0.3">
      <c r="A138" s="2">
        <v>46310</v>
      </c>
      <c r="B138" s="3">
        <v>2026</v>
      </c>
      <c r="C138" s="3" t="s">
        <v>71</v>
      </c>
      <c r="D138" s="3" t="s">
        <v>215</v>
      </c>
      <c r="E138" s="3" t="s">
        <v>130</v>
      </c>
      <c r="F138" s="3" t="s">
        <v>131</v>
      </c>
      <c r="G138" s="3" t="s">
        <v>120</v>
      </c>
      <c r="H138" s="3" t="s">
        <v>28</v>
      </c>
      <c r="I138" s="3">
        <v>11</v>
      </c>
      <c r="J138" s="3">
        <v>58.38</v>
      </c>
      <c r="K138" s="3">
        <v>506.39</v>
      </c>
      <c r="L138" s="7">
        <f t="shared" si="6"/>
        <v>642.18000000000006</v>
      </c>
      <c r="M138" s="7">
        <f t="shared" si="7"/>
        <v>135.79000000000008</v>
      </c>
      <c r="N138" t="str">
        <f t="shared" si="8"/>
        <v>Low</v>
      </c>
    </row>
    <row r="139" spans="1:14" x14ac:dyDescent="0.3">
      <c r="A139" s="4">
        <v>46062</v>
      </c>
      <c r="B139" s="5">
        <v>2026</v>
      </c>
      <c r="C139" s="5" t="s">
        <v>195</v>
      </c>
      <c r="D139" s="5" t="s">
        <v>229</v>
      </c>
      <c r="E139" s="5" t="s">
        <v>139</v>
      </c>
      <c r="F139" s="5" t="s">
        <v>140</v>
      </c>
      <c r="G139" s="5" t="s">
        <v>120</v>
      </c>
      <c r="H139" s="5" t="s">
        <v>21</v>
      </c>
      <c r="I139" s="5">
        <v>10</v>
      </c>
      <c r="J139" s="5">
        <v>69.89</v>
      </c>
      <c r="K139" s="5">
        <v>420.11</v>
      </c>
      <c r="L139" s="7">
        <f t="shared" si="6"/>
        <v>698.9</v>
      </c>
      <c r="M139" s="7">
        <f t="shared" si="7"/>
        <v>278.78999999999996</v>
      </c>
      <c r="N139" t="str">
        <f t="shared" si="8"/>
        <v>Low</v>
      </c>
    </row>
    <row r="140" spans="1:14" x14ac:dyDescent="0.3">
      <c r="A140" s="2">
        <v>46336</v>
      </c>
      <c r="B140" s="3">
        <v>2026</v>
      </c>
      <c r="C140" s="3" t="s">
        <v>24</v>
      </c>
      <c r="D140" s="3" t="s">
        <v>185</v>
      </c>
      <c r="E140" s="3" t="s">
        <v>153</v>
      </c>
      <c r="F140" s="3" t="s">
        <v>154</v>
      </c>
      <c r="G140" s="3" t="s">
        <v>120</v>
      </c>
      <c r="H140" s="3" t="s">
        <v>28</v>
      </c>
      <c r="I140" s="3">
        <v>12</v>
      </c>
      <c r="J140" s="3">
        <v>199.98</v>
      </c>
      <c r="K140" s="3">
        <v>1647.19</v>
      </c>
      <c r="L140" s="7">
        <f t="shared" si="6"/>
        <v>2399.7599999999998</v>
      </c>
      <c r="M140" s="7">
        <f t="shared" si="7"/>
        <v>752.56999999999971</v>
      </c>
      <c r="N140" t="str">
        <f t="shared" si="8"/>
        <v>Medium</v>
      </c>
    </row>
    <row r="141" spans="1:14" x14ac:dyDescent="0.3">
      <c r="A141" s="4">
        <v>46271</v>
      </c>
      <c r="B141" s="5">
        <v>2026</v>
      </c>
      <c r="C141" s="5" t="s">
        <v>230</v>
      </c>
      <c r="D141" s="5" t="s">
        <v>231</v>
      </c>
      <c r="E141" s="5" t="s">
        <v>167</v>
      </c>
      <c r="F141" s="5" t="s">
        <v>168</v>
      </c>
      <c r="G141" s="5" t="s">
        <v>120</v>
      </c>
      <c r="H141" s="5" t="s">
        <v>28</v>
      </c>
      <c r="I141" s="5">
        <v>2</v>
      </c>
      <c r="J141" s="5">
        <v>187.76</v>
      </c>
      <c r="K141" s="5">
        <v>246.69</v>
      </c>
      <c r="L141" s="7">
        <f t="shared" si="6"/>
        <v>375.52</v>
      </c>
      <c r="M141" s="7">
        <f t="shared" si="7"/>
        <v>128.82999999999998</v>
      </c>
      <c r="N141" t="str">
        <f t="shared" si="8"/>
        <v>Low</v>
      </c>
    </row>
    <row r="142" spans="1:14" x14ac:dyDescent="0.3">
      <c r="A142" s="2">
        <v>46250</v>
      </c>
      <c r="B142" s="3">
        <v>2026</v>
      </c>
      <c r="C142" s="3" t="s">
        <v>68</v>
      </c>
      <c r="D142" s="3" t="s">
        <v>232</v>
      </c>
      <c r="E142" s="3" t="s">
        <v>118</v>
      </c>
      <c r="F142" s="3" t="s">
        <v>119</v>
      </c>
      <c r="G142" s="3" t="s">
        <v>120</v>
      </c>
      <c r="H142" s="3" t="s">
        <v>39</v>
      </c>
      <c r="I142" s="3">
        <v>15</v>
      </c>
      <c r="J142" s="3">
        <v>150.97999999999999</v>
      </c>
      <c r="K142" s="3">
        <v>1297.3</v>
      </c>
      <c r="L142" s="7">
        <f t="shared" si="6"/>
        <v>2264.6999999999998</v>
      </c>
      <c r="M142" s="7">
        <f t="shared" si="7"/>
        <v>967.39999999999986</v>
      </c>
      <c r="N142" t="str">
        <f t="shared" si="8"/>
        <v>Medium</v>
      </c>
    </row>
    <row r="143" spans="1:14" x14ac:dyDescent="0.3">
      <c r="A143" s="4">
        <v>46234</v>
      </c>
      <c r="B143" s="5">
        <v>2026</v>
      </c>
      <c r="C143" s="5" t="s">
        <v>163</v>
      </c>
      <c r="D143" s="5" t="s">
        <v>233</v>
      </c>
      <c r="E143" s="5" t="s">
        <v>153</v>
      </c>
      <c r="F143" s="5" t="s">
        <v>154</v>
      </c>
      <c r="G143" s="5" t="s">
        <v>120</v>
      </c>
      <c r="H143" s="5" t="s">
        <v>28</v>
      </c>
      <c r="I143" s="5">
        <v>12</v>
      </c>
      <c r="J143" s="5">
        <v>384.68</v>
      </c>
      <c r="K143" s="5">
        <v>2669.8</v>
      </c>
      <c r="L143" s="7">
        <f t="shared" si="6"/>
        <v>4616.16</v>
      </c>
      <c r="M143" s="7">
        <f t="shared" si="7"/>
        <v>1946.3599999999997</v>
      </c>
      <c r="N143" t="str">
        <f t="shared" si="8"/>
        <v>High</v>
      </c>
    </row>
    <row r="144" spans="1:14" x14ac:dyDescent="0.3">
      <c r="A144" s="2">
        <v>46094</v>
      </c>
      <c r="B144" s="3">
        <v>2026</v>
      </c>
      <c r="C144" s="3" t="s">
        <v>234</v>
      </c>
      <c r="D144" s="3" t="s">
        <v>235</v>
      </c>
      <c r="E144" s="3" t="s">
        <v>155</v>
      </c>
      <c r="F144" s="3" t="s">
        <v>156</v>
      </c>
      <c r="G144" s="3" t="s">
        <v>120</v>
      </c>
      <c r="H144" s="3" t="s">
        <v>28</v>
      </c>
      <c r="I144" s="3">
        <v>1</v>
      </c>
      <c r="J144" s="3">
        <v>199.87</v>
      </c>
      <c r="K144" s="3">
        <v>142.29</v>
      </c>
      <c r="L144" s="7">
        <f t="shared" si="6"/>
        <v>199.87</v>
      </c>
      <c r="M144" s="7">
        <f t="shared" si="7"/>
        <v>57.580000000000013</v>
      </c>
      <c r="N144" t="str">
        <f t="shared" si="8"/>
        <v>Low</v>
      </c>
    </row>
    <row r="145" spans="1:14" x14ac:dyDescent="0.3">
      <c r="A145" s="4">
        <v>46075</v>
      </c>
      <c r="B145" s="5">
        <v>2026</v>
      </c>
      <c r="C145" s="5" t="s">
        <v>236</v>
      </c>
      <c r="D145" s="5" t="s">
        <v>109</v>
      </c>
      <c r="E145" s="5" t="s">
        <v>130</v>
      </c>
      <c r="F145" s="5" t="s">
        <v>131</v>
      </c>
      <c r="G145" s="5" t="s">
        <v>120</v>
      </c>
      <c r="H145" s="5" t="s">
        <v>39</v>
      </c>
      <c r="I145" s="5">
        <v>4</v>
      </c>
      <c r="J145" s="5">
        <v>499.07</v>
      </c>
      <c r="K145" s="5">
        <v>1506.94</v>
      </c>
      <c r="L145" s="7">
        <f t="shared" si="6"/>
        <v>1996.28</v>
      </c>
      <c r="M145" s="7">
        <f t="shared" si="7"/>
        <v>489.33999999999992</v>
      </c>
      <c r="N145" t="str">
        <f t="shared" si="8"/>
        <v>Medium</v>
      </c>
    </row>
    <row r="146" spans="1:14" x14ac:dyDescent="0.3">
      <c r="A146" s="2">
        <v>46301</v>
      </c>
      <c r="B146" s="3">
        <v>2026</v>
      </c>
      <c r="C146" s="3" t="s">
        <v>237</v>
      </c>
      <c r="D146" s="3" t="s">
        <v>238</v>
      </c>
      <c r="E146" s="3" t="s">
        <v>141</v>
      </c>
      <c r="F146" s="3" t="s">
        <v>142</v>
      </c>
      <c r="G146" s="3" t="s">
        <v>120</v>
      </c>
      <c r="H146" s="3" t="s">
        <v>16</v>
      </c>
      <c r="I146" s="3">
        <v>17</v>
      </c>
      <c r="J146" s="3">
        <v>201.68</v>
      </c>
      <c r="K146" s="3">
        <v>2471.94</v>
      </c>
      <c r="L146" s="7">
        <f t="shared" si="6"/>
        <v>3428.56</v>
      </c>
      <c r="M146" s="7">
        <f t="shared" si="7"/>
        <v>956.61999999999989</v>
      </c>
      <c r="N146" t="str">
        <f t="shared" si="8"/>
        <v>High</v>
      </c>
    </row>
    <row r="147" spans="1:14" x14ac:dyDescent="0.3">
      <c r="A147" s="4">
        <v>46186</v>
      </c>
      <c r="B147" s="5">
        <v>2026</v>
      </c>
      <c r="C147" s="5" t="s">
        <v>165</v>
      </c>
      <c r="D147" s="5" t="s">
        <v>239</v>
      </c>
      <c r="E147" s="5" t="s">
        <v>130</v>
      </c>
      <c r="F147" s="5" t="s">
        <v>131</v>
      </c>
      <c r="G147" s="5" t="s">
        <v>120</v>
      </c>
      <c r="H147" s="5" t="s">
        <v>21</v>
      </c>
      <c r="I147" s="5">
        <v>10</v>
      </c>
      <c r="J147" s="5">
        <v>448.58</v>
      </c>
      <c r="K147" s="5">
        <v>3340.35</v>
      </c>
      <c r="L147" s="7">
        <f t="shared" si="6"/>
        <v>4485.8</v>
      </c>
      <c r="M147" s="7">
        <f t="shared" si="7"/>
        <v>1145.4500000000003</v>
      </c>
      <c r="N147" t="str">
        <f t="shared" si="8"/>
        <v>High</v>
      </c>
    </row>
    <row r="148" spans="1:14" x14ac:dyDescent="0.3">
      <c r="A148" s="2">
        <v>46153</v>
      </c>
      <c r="B148" s="3">
        <v>2026</v>
      </c>
      <c r="C148" s="3" t="s">
        <v>33</v>
      </c>
      <c r="D148" s="3" t="s">
        <v>240</v>
      </c>
      <c r="E148" s="3" t="s">
        <v>127</v>
      </c>
      <c r="F148" s="3" t="s">
        <v>128</v>
      </c>
      <c r="G148" s="3" t="s">
        <v>120</v>
      </c>
      <c r="H148" s="3" t="s">
        <v>39</v>
      </c>
      <c r="I148" s="3">
        <v>2</v>
      </c>
      <c r="J148" s="3">
        <v>81.92</v>
      </c>
      <c r="K148" s="3">
        <v>97.14</v>
      </c>
      <c r="L148" s="7">
        <f t="shared" si="6"/>
        <v>163.84</v>
      </c>
      <c r="M148" s="7">
        <f t="shared" si="7"/>
        <v>66.7</v>
      </c>
      <c r="N148" t="str">
        <f t="shared" si="8"/>
        <v>Low</v>
      </c>
    </row>
    <row r="149" spans="1:14" x14ac:dyDescent="0.3">
      <c r="A149" s="4">
        <v>46193</v>
      </c>
      <c r="B149" s="5">
        <v>2026</v>
      </c>
      <c r="C149" s="5" t="s">
        <v>193</v>
      </c>
      <c r="D149" s="5" t="s">
        <v>241</v>
      </c>
      <c r="E149" s="5" t="s">
        <v>127</v>
      </c>
      <c r="F149" s="5" t="s">
        <v>128</v>
      </c>
      <c r="G149" s="5" t="s">
        <v>120</v>
      </c>
      <c r="H149" s="5" t="s">
        <v>28</v>
      </c>
      <c r="I149" s="5">
        <v>15</v>
      </c>
      <c r="J149" s="5">
        <v>62.8</v>
      </c>
      <c r="K149" s="5">
        <v>587.92999999999995</v>
      </c>
      <c r="L149" s="7">
        <f t="shared" si="6"/>
        <v>942</v>
      </c>
      <c r="M149" s="7">
        <f t="shared" si="7"/>
        <v>354.07000000000005</v>
      </c>
      <c r="N149" t="str">
        <f t="shared" si="8"/>
        <v>Low</v>
      </c>
    </row>
    <row r="150" spans="1:14" x14ac:dyDescent="0.3">
      <c r="A150" s="2">
        <v>46285</v>
      </c>
      <c r="B150" s="3">
        <v>2026</v>
      </c>
      <c r="C150" s="3" t="s">
        <v>242</v>
      </c>
      <c r="D150" s="3" t="s">
        <v>243</v>
      </c>
      <c r="E150" s="3" t="s">
        <v>167</v>
      </c>
      <c r="F150" s="3" t="s">
        <v>168</v>
      </c>
      <c r="G150" s="3" t="s">
        <v>120</v>
      </c>
      <c r="H150" s="3" t="s">
        <v>16</v>
      </c>
      <c r="I150" s="3">
        <v>3</v>
      </c>
      <c r="J150" s="3">
        <v>184.97</v>
      </c>
      <c r="K150" s="3">
        <v>444.06</v>
      </c>
      <c r="L150" s="7">
        <f t="shared" si="6"/>
        <v>554.91</v>
      </c>
      <c r="M150" s="7">
        <f t="shared" si="7"/>
        <v>110.84999999999997</v>
      </c>
      <c r="N150" t="str">
        <f t="shared" si="8"/>
        <v>Low</v>
      </c>
    </row>
    <row r="151" spans="1:14" x14ac:dyDescent="0.3">
      <c r="A151" s="4">
        <v>46342</v>
      </c>
      <c r="B151" s="5">
        <v>2026</v>
      </c>
      <c r="C151" s="5" t="s">
        <v>61</v>
      </c>
      <c r="D151" s="5" t="s">
        <v>244</v>
      </c>
      <c r="E151" s="5" t="s">
        <v>167</v>
      </c>
      <c r="F151" s="5" t="s">
        <v>168</v>
      </c>
      <c r="G151" s="5" t="s">
        <v>120</v>
      </c>
      <c r="H151" s="5" t="s">
        <v>21</v>
      </c>
      <c r="I151" s="5">
        <v>5</v>
      </c>
      <c r="J151" s="5">
        <v>376.81</v>
      </c>
      <c r="K151" s="5">
        <v>1289.8900000000001</v>
      </c>
      <c r="L151" s="7">
        <f t="shared" si="6"/>
        <v>1884.05</v>
      </c>
      <c r="M151" s="7">
        <f t="shared" si="7"/>
        <v>594.15999999999985</v>
      </c>
      <c r="N151" t="str">
        <f t="shared" si="8"/>
        <v>Medium</v>
      </c>
    </row>
    <row r="152" spans="1:14" x14ac:dyDescent="0.3">
      <c r="A152" s="2">
        <v>46089</v>
      </c>
      <c r="B152" s="3">
        <v>2026</v>
      </c>
      <c r="C152" s="3" t="s">
        <v>148</v>
      </c>
      <c r="D152" s="3" t="s">
        <v>189</v>
      </c>
      <c r="E152" s="3" t="s">
        <v>153</v>
      </c>
      <c r="F152" s="3" t="s">
        <v>154</v>
      </c>
      <c r="G152" s="3" t="s">
        <v>120</v>
      </c>
      <c r="H152" s="3" t="s">
        <v>16</v>
      </c>
      <c r="I152" s="3">
        <v>3</v>
      </c>
      <c r="J152" s="3">
        <v>459.32</v>
      </c>
      <c r="K152" s="3">
        <v>931.25</v>
      </c>
      <c r="L152" s="7">
        <f t="shared" si="6"/>
        <v>1377.96</v>
      </c>
      <c r="M152" s="7">
        <f t="shared" si="7"/>
        <v>446.71000000000004</v>
      </c>
      <c r="N152" t="str">
        <f t="shared" si="8"/>
        <v>Low</v>
      </c>
    </row>
    <row r="153" spans="1:14" x14ac:dyDescent="0.3">
      <c r="A153" s="4">
        <v>46369</v>
      </c>
      <c r="B153" s="5">
        <v>2026</v>
      </c>
      <c r="C153" s="5" t="s">
        <v>236</v>
      </c>
      <c r="D153" s="5" t="s">
        <v>245</v>
      </c>
      <c r="E153" s="5" t="s">
        <v>127</v>
      </c>
      <c r="F153" s="5" t="s">
        <v>128</v>
      </c>
      <c r="G153" s="5" t="s">
        <v>120</v>
      </c>
      <c r="H153" s="5" t="s">
        <v>39</v>
      </c>
      <c r="I153" s="5">
        <v>1</v>
      </c>
      <c r="J153" s="5">
        <v>261.58999999999997</v>
      </c>
      <c r="K153" s="5">
        <v>163.04</v>
      </c>
      <c r="L153" s="7">
        <f t="shared" si="6"/>
        <v>261.58999999999997</v>
      </c>
      <c r="M153" s="7">
        <f t="shared" si="7"/>
        <v>98.549999999999983</v>
      </c>
      <c r="N153" t="str">
        <f t="shared" si="8"/>
        <v>Low</v>
      </c>
    </row>
    <row r="154" spans="1:14" x14ac:dyDescent="0.3">
      <c r="A154" s="2">
        <v>46157</v>
      </c>
      <c r="B154" s="3">
        <v>2026</v>
      </c>
      <c r="C154" s="3" t="s">
        <v>188</v>
      </c>
      <c r="D154" s="3" t="s">
        <v>194</v>
      </c>
      <c r="E154" s="3" t="s">
        <v>130</v>
      </c>
      <c r="F154" s="3" t="s">
        <v>131</v>
      </c>
      <c r="G154" s="3" t="s">
        <v>120</v>
      </c>
      <c r="H154" s="3" t="s">
        <v>39</v>
      </c>
      <c r="I154" s="3">
        <v>12</v>
      </c>
      <c r="J154" s="3">
        <v>413.57</v>
      </c>
      <c r="K154" s="3">
        <v>3054.8</v>
      </c>
      <c r="L154" s="7">
        <f t="shared" si="6"/>
        <v>4962.84</v>
      </c>
      <c r="M154" s="7">
        <f t="shared" si="7"/>
        <v>1908.04</v>
      </c>
      <c r="N154" t="str">
        <f t="shared" si="8"/>
        <v>High</v>
      </c>
    </row>
    <row r="155" spans="1:14" x14ac:dyDescent="0.3">
      <c r="A155" s="4">
        <v>46341</v>
      </c>
      <c r="B155" s="5">
        <v>2026</v>
      </c>
      <c r="C155" s="5" t="s">
        <v>82</v>
      </c>
      <c r="D155" s="5" t="s">
        <v>246</v>
      </c>
      <c r="E155" s="5" t="s">
        <v>136</v>
      </c>
      <c r="F155" s="5" t="s">
        <v>137</v>
      </c>
      <c r="G155" s="5" t="s">
        <v>120</v>
      </c>
      <c r="H155" s="5" t="s">
        <v>16</v>
      </c>
      <c r="I155" s="5">
        <v>3</v>
      </c>
      <c r="J155" s="5">
        <v>257.87</v>
      </c>
      <c r="K155" s="5">
        <v>473.79</v>
      </c>
      <c r="L155" s="7">
        <f t="shared" si="6"/>
        <v>773.61</v>
      </c>
      <c r="M155" s="7">
        <f t="shared" si="7"/>
        <v>299.82</v>
      </c>
      <c r="N155" t="str">
        <f t="shared" si="8"/>
        <v>Low</v>
      </c>
    </row>
    <row r="156" spans="1:14" x14ac:dyDescent="0.3">
      <c r="A156" s="2">
        <v>46233</v>
      </c>
      <c r="B156" s="3">
        <v>2026</v>
      </c>
      <c r="C156" s="3" t="s">
        <v>247</v>
      </c>
      <c r="D156" s="3" t="s">
        <v>72</v>
      </c>
      <c r="E156" s="3" t="s">
        <v>167</v>
      </c>
      <c r="F156" s="3" t="s">
        <v>168</v>
      </c>
      <c r="G156" s="3" t="s">
        <v>120</v>
      </c>
      <c r="H156" s="3" t="s">
        <v>39</v>
      </c>
      <c r="I156" s="3">
        <v>7</v>
      </c>
      <c r="J156" s="3">
        <v>334.45</v>
      </c>
      <c r="K156" s="3">
        <v>1939.83</v>
      </c>
      <c r="L156" s="7">
        <f t="shared" si="6"/>
        <v>2341.15</v>
      </c>
      <c r="M156" s="7">
        <f t="shared" si="7"/>
        <v>401.32000000000016</v>
      </c>
      <c r="N156" t="str">
        <f t="shared" si="8"/>
        <v>Medium</v>
      </c>
    </row>
    <row r="157" spans="1:14" x14ac:dyDescent="0.3">
      <c r="A157" s="4">
        <v>46259</v>
      </c>
      <c r="B157" s="5">
        <v>2026</v>
      </c>
      <c r="C157" s="5" t="s">
        <v>248</v>
      </c>
      <c r="D157" s="5" t="s">
        <v>75</v>
      </c>
      <c r="E157" s="5" t="s">
        <v>123</v>
      </c>
      <c r="F157" s="5" t="s">
        <v>124</v>
      </c>
      <c r="G157" s="5" t="s">
        <v>120</v>
      </c>
      <c r="H157" s="5" t="s">
        <v>39</v>
      </c>
      <c r="I157" s="5">
        <v>6</v>
      </c>
      <c r="J157" s="5">
        <v>171.38</v>
      </c>
      <c r="K157" s="5">
        <v>639.76</v>
      </c>
      <c r="L157" s="7">
        <f t="shared" si="6"/>
        <v>1028.28</v>
      </c>
      <c r="M157" s="7">
        <f t="shared" si="7"/>
        <v>388.52</v>
      </c>
      <c r="N157" t="str">
        <f t="shared" si="8"/>
        <v>Low</v>
      </c>
    </row>
    <row r="158" spans="1:14" x14ac:dyDescent="0.3">
      <c r="A158" s="2">
        <v>46277</v>
      </c>
      <c r="B158" s="3">
        <v>2026</v>
      </c>
      <c r="C158" s="3" t="s">
        <v>11</v>
      </c>
      <c r="D158" s="3" t="s">
        <v>179</v>
      </c>
      <c r="E158" s="3" t="s">
        <v>118</v>
      </c>
      <c r="F158" s="3" t="s">
        <v>119</v>
      </c>
      <c r="G158" s="3" t="s">
        <v>120</v>
      </c>
      <c r="H158" s="3" t="s">
        <v>16</v>
      </c>
      <c r="I158" s="3">
        <v>8</v>
      </c>
      <c r="J158" s="3">
        <v>313.47000000000003</v>
      </c>
      <c r="K158" s="3">
        <v>1494.66</v>
      </c>
      <c r="L158" s="7">
        <f t="shared" si="6"/>
        <v>2507.7600000000002</v>
      </c>
      <c r="M158" s="7">
        <f t="shared" si="7"/>
        <v>1013.1000000000001</v>
      </c>
      <c r="N158" t="str">
        <f t="shared" si="8"/>
        <v>Medium</v>
      </c>
    </row>
    <row r="159" spans="1:14" x14ac:dyDescent="0.3">
      <c r="A159" s="4">
        <v>46076</v>
      </c>
      <c r="B159" s="5">
        <v>2026</v>
      </c>
      <c r="C159" s="5" t="s">
        <v>102</v>
      </c>
      <c r="D159" s="5" t="s">
        <v>249</v>
      </c>
      <c r="E159" s="5" t="s">
        <v>139</v>
      </c>
      <c r="F159" s="5" t="s">
        <v>140</v>
      </c>
      <c r="G159" s="5" t="s">
        <v>120</v>
      </c>
      <c r="H159" s="5" t="s">
        <v>39</v>
      </c>
      <c r="I159" s="5">
        <v>20</v>
      </c>
      <c r="J159" s="5">
        <v>59.78</v>
      </c>
      <c r="K159" s="5">
        <v>655.77</v>
      </c>
      <c r="L159" s="7">
        <f t="shared" si="6"/>
        <v>1195.5999999999999</v>
      </c>
      <c r="M159" s="7">
        <f t="shared" si="7"/>
        <v>539.82999999999993</v>
      </c>
      <c r="N159" t="str">
        <f t="shared" si="8"/>
        <v>Low</v>
      </c>
    </row>
    <row r="160" spans="1:14" x14ac:dyDescent="0.3">
      <c r="A160" s="2">
        <v>46235</v>
      </c>
      <c r="B160" s="3">
        <v>2026</v>
      </c>
      <c r="C160" s="3" t="s">
        <v>204</v>
      </c>
      <c r="D160" s="3" t="s">
        <v>219</v>
      </c>
      <c r="E160" s="3" t="s">
        <v>136</v>
      </c>
      <c r="F160" s="3" t="s">
        <v>137</v>
      </c>
      <c r="G160" s="3" t="s">
        <v>120</v>
      </c>
      <c r="H160" s="3" t="s">
        <v>16</v>
      </c>
      <c r="I160" s="3">
        <v>15</v>
      </c>
      <c r="J160" s="3">
        <v>30.32</v>
      </c>
      <c r="K160" s="3">
        <v>336.55</v>
      </c>
      <c r="L160" s="7">
        <f t="shared" si="6"/>
        <v>454.8</v>
      </c>
      <c r="M160" s="7">
        <f t="shared" si="7"/>
        <v>118.25</v>
      </c>
      <c r="N160" t="str">
        <f t="shared" si="8"/>
        <v>Low</v>
      </c>
    </row>
    <row r="161" spans="1:14" x14ac:dyDescent="0.3">
      <c r="A161" s="4">
        <v>46276</v>
      </c>
      <c r="B161" s="5">
        <v>2026</v>
      </c>
      <c r="C161" s="5" t="s">
        <v>163</v>
      </c>
      <c r="D161" s="5" t="s">
        <v>49</v>
      </c>
      <c r="E161" s="5" t="s">
        <v>250</v>
      </c>
      <c r="F161" s="5" t="s">
        <v>251</v>
      </c>
      <c r="G161" s="5" t="s">
        <v>252</v>
      </c>
      <c r="H161" s="5" t="s">
        <v>28</v>
      </c>
      <c r="I161" s="5">
        <v>12</v>
      </c>
      <c r="J161" s="5">
        <v>356.59</v>
      </c>
      <c r="K161" s="5">
        <v>2680.36</v>
      </c>
      <c r="L161" s="7">
        <f t="shared" si="6"/>
        <v>4279.08</v>
      </c>
      <c r="M161" s="7">
        <f t="shared" si="7"/>
        <v>1598.7199999999998</v>
      </c>
      <c r="N161" t="str">
        <f t="shared" si="8"/>
        <v>High</v>
      </c>
    </row>
    <row r="162" spans="1:14" x14ac:dyDescent="0.3">
      <c r="A162" s="2">
        <v>46248</v>
      </c>
      <c r="B162" s="3">
        <v>2026</v>
      </c>
      <c r="C162" s="3" t="s">
        <v>253</v>
      </c>
      <c r="D162" s="3" t="s">
        <v>182</v>
      </c>
      <c r="E162" s="3" t="s">
        <v>250</v>
      </c>
      <c r="F162" s="3" t="s">
        <v>251</v>
      </c>
      <c r="G162" s="3" t="s">
        <v>252</v>
      </c>
      <c r="H162" s="3" t="s">
        <v>21</v>
      </c>
      <c r="I162" s="3">
        <v>14</v>
      </c>
      <c r="J162" s="3">
        <v>325.60000000000002</v>
      </c>
      <c r="K162" s="3">
        <v>2851.81</v>
      </c>
      <c r="L162" s="7">
        <f t="shared" si="6"/>
        <v>4558.4000000000005</v>
      </c>
      <c r="M162" s="7">
        <f t="shared" si="7"/>
        <v>1706.5900000000006</v>
      </c>
      <c r="N162" t="str">
        <f t="shared" si="8"/>
        <v>High</v>
      </c>
    </row>
    <row r="163" spans="1:14" x14ac:dyDescent="0.3">
      <c r="A163" s="4">
        <v>46107</v>
      </c>
      <c r="B163" s="5">
        <v>2026</v>
      </c>
      <c r="C163" s="5" t="s">
        <v>82</v>
      </c>
      <c r="D163" s="5" t="s">
        <v>246</v>
      </c>
      <c r="E163" s="5" t="s">
        <v>254</v>
      </c>
      <c r="F163" s="5" t="s">
        <v>255</v>
      </c>
      <c r="G163" s="5" t="s">
        <v>252</v>
      </c>
      <c r="H163" s="5" t="s">
        <v>28</v>
      </c>
      <c r="I163" s="5">
        <v>6</v>
      </c>
      <c r="J163" s="5">
        <v>429.23</v>
      </c>
      <c r="K163" s="5">
        <v>1427.01</v>
      </c>
      <c r="L163" s="7">
        <f t="shared" si="6"/>
        <v>2575.38</v>
      </c>
      <c r="M163" s="7">
        <f t="shared" si="7"/>
        <v>1148.3700000000001</v>
      </c>
      <c r="N163" t="str">
        <f t="shared" si="8"/>
        <v>Medium</v>
      </c>
    </row>
    <row r="164" spans="1:14" x14ac:dyDescent="0.3">
      <c r="A164" s="2">
        <v>46166</v>
      </c>
      <c r="B164" s="3">
        <v>2026</v>
      </c>
      <c r="C164" s="3" t="s">
        <v>256</v>
      </c>
      <c r="D164" s="3" t="s">
        <v>257</v>
      </c>
      <c r="E164" s="3" t="s">
        <v>258</v>
      </c>
      <c r="F164" s="3" t="s">
        <v>259</v>
      </c>
      <c r="G164" s="3" t="s">
        <v>252</v>
      </c>
      <c r="H164" s="3" t="s">
        <v>39</v>
      </c>
      <c r="I164" s="3">
        <v>6</v>
      </c>
      <c r="J164" s="3">
        <v>63.41</v>
      </c>
      <c r="K164" s="3">
        <v>257.01</v>
      </c>
      <c r="L164" s="7">
        <f t="shared" si="6"/>
        <v>380.46</v>
      </c>
      <c r="M164" s="7">
        <f t="shared" si="7"/>
        <v>123.44999999999999</v>
      </c>
      <c r="N164" t="str">
        <f t="shared" si="8"/>
        <v>Low</v>
      </c>
    </row>
    <row r="165" spans="1:14" x14ac:dyDescent="0.3">
      <c r="A165" s="4">
        <v>46160</v>
      </c>
      <c r="B165" s="5">
        <v>2026</v>
      </c>
      <c r="C165" s="5" t="s">
        <v>247</v>
      </c>
      <c r="D165" s="5" t="s">
        <v>73</v>
      </c>
      <c r="E165" s="5" t="s">
        <v>254</v>
      </c>
      <c r="F165" s="5" t="s">
        <v>255</v>
      </c>
      <c r="G165" s="5" t="s">
        <v>252</v>
      </c>
      <c r="H165" s="5" t="s">
        <v>28</v>
      </c>
      <c r="I165" s="5">
        <v>17</v>
      </c>
      <c r="J165" s="5">
        <v>251.77</v>
      </c>
      <c r="K165" s="5">
        <v>2312.52</v>
      </c>
      <c r="L165" s="7">
        <f t="shared" si="6"/>
        <v>4280.09</v>
      </c>
      <c r="M165" s="7">
        <f t="shared" si="7"/>
        <v>1967.5700000000002</v>
      </c>
      <c r="N165" t="str">
        <f t="shared" si="8"/>
        <v>High</v>
      </c>
    </row>
    <row r="166" spans="1:14" x14ac:dyDescent="0.3">
      <c r="A166" s="2">
        <v>46364</v>
      </c>
      <c r="B166" s="3">
        <v>2026</v>
      </c>
      <c r="C166" s="3" t="s">
        <v>260</v>
      </c>
      <c r="D166" s="3" t="s">
        <v>245</v>
      </c>
      <c r="E166" s="3" t="s">
        <v>258</v>
      </c>
      <c r="F166" s="3" t="s">
        <v>259</v>
      </c>
      <c r="G166" s="3" t="s">
        <v>252</v>
      </c>
      <c r="H166" s="3" t="s">
        <v>39</v>
      </c>
      <c r="I166" s="3">
        <v>6</v>
      </c>
      <c r="J166" s="3">
        <v>440.76</v>
      </c>
      <c r="K166" s="3">
        <v>1519.3</v>
      </c>
      <c r="L166" s="7">
        <f t="shared" si="6"/>
        <v>2644.56</v>
      </c>
      <c r="M166" s="7">
        <f t="shared" si="7"/>
        <v>1125.26</v>
      </c>
      <c r="N166" t="str">
        <f t="shared" si="8"/>
        <v>Medium</v>
      </c>
    </row>
    <row r="167" spans="1:14" x14ac:dyDescent="0.3">
      <c r="A167" s="4">
        <v>46353</v>
      </c>
      <c r="B167" s="5">
        <v>2026</v>
      </c>
      <c r="C167" s="5" t="s">
        <v>86</v>
      </c>
      <c r="D167" s="5" t="s">
        <v>261</v>
      </c>
      <c r="E167" s="5" t="s">
        <v>250</v>
      </c>
      <c r="F167" s="5" t="s">
        <v>251</v>
      </c>
      <c r="G167" s="5" t="s">
        <v>252</v>
      </c>
      <c r="H167" s="5" t="s">
        <v>21</v>
      </c>
      <c r="I167" s="5">
        <v>11</v>
      </c>
      <c r="J167" s="5">
        <v>355.29</v>
      </c>
      <c r="K167" s="5">
        <v>2750.55</v>
      </c>
      <c r="L167" s="7">
        <f t="shared" si="6"/>
        <v>3908.19</v>
      </c>
      <c r="M167" s="7">
        <f t="shared" si="7"/>
        <v>1157.6399999999999</v>
      </c>
      <c r="N167" t="str">
        <f t="shared" si="8"/>
        <v>High</v>
      </c>
    </row>
    <row r="168" spans="1:14" x14ac:dyDescent="0.3">
      <c r="A168" s="2">
        <v>46184</v>
      </c>
      <c r="B168" s="3">
        <v>2026</v>
      </c>
      <c r="C168" s="3" t="s">
        <v>262</v>
      </c>
      <c r="D168" s="3" t="s">
        <v>231</v>
      </c>
      <c r="E168" s="3" t="s">
        <v>254</v>
      </c>
      <c r="F168" s="3" t="s">
        <v>255</v>
      </c>
      <c r="G168" s="3" t="s">
        <v>252</v>
      </c>
      <c r="H168" s="3" t="s">
        <v>16</v>
      </c>
      <c r="I168" s="3">
        <v>2</v>
      </c>
      <c r="J168" s="3">
        <v>487.67</v>
      </c>
      <c r="K168" s="3">
        <v>627.03</v>
      </c>
      <c r="L168" s="7">
        <f t="shared" si="6"/>
        <v>975.34</v>
      </c>
      <c r="M168" s="7">
        <f t="shared" si="7"/>
        <v>348.31000000000006</v>
      </c>
      <c r="N168" t="str">
        <f t="shared" si="8"/>
        <v>Low</v>
      </c>
    </row>
    <row r="169" spans="1:14" x14ac:dyDescent="0.3">
      <c r="A169" s="4">
        <v>46044</v>
      </c>
      <c r="B169" s="5">
        <v>2026</v>
      </c>
      <c r="C169" s="5" t="s">
        <v>183</v>
      </c>
      <c r="D169" s="5" t="s">
        <v>240</v>
      </c>
      <c r="E169" s="5" t="s">
        <v>258</v>
      </c>
      <c r="F169" s="5" t="s">
        <v>259</v>
      </c>
      <c r="G169" s="5" t="s">
        <v>252</v>
      </c>
      <c r="H169" s="5" t="s">
        <v>21</v>
      </c>
      <c r="I169" s="5">
        <v>12</v>
      </c>
      <c r="J169" s="5">
        <v>30.01</v>
      </c>
      <c r="K169" s="5">
        <v>224.36</v>
      </c>
      <c r="L169" s="7">
        <f t="shared" si="6"/>
        <v>360.12</v>
      </c>
      <c r="M169" s="7">
        <f t="shared" si="7"/>
        <v>135.76</v>
      </c>
      <c r="N169" t="str">
        <f t="shared" si="8"/>
        <v>Low</v>
      </c>
    </row>
    <row r="170" spans="1:14" x14ac:dyDescent="0.3">
      <c r="A170" s="2">
        <v>46199</v>
      </c>
      <c r="B170" s="3">
        <v>2026</v>
      </c>
      <c r="C170" s="3" t="s">
        <v>47</v>
      </c>
      <c r="D170" s="3" t="s">
        <v>231</v>
      </c>
      <c r="E170" s="3" t="s">
        <v>258</v>
      </c>
      <c r="F170" s="3" t="s">
        <v>259</v>
      </c>
      <c r="G170" s="3" t="s">
        <v>252</v>
      </c>
      <c r="H170" s="3" t="s">
        <v>21</v>
      </c>
      <c r="I170" s="3">
        <v>14</v>
      </c>
      <c r="J170" s="3">
        <v>301.13</v>
      </c>
      <c r="K170" s="3">
        <v>2469.3200000000002</v>
      </c>
      <c r="L170" s="7">
        <f t="shared" si="6"/>
        <v>4215.82</v>
      </c>
      <c r="M170" s="7">
        <f t="shared" si="7"/>
        <v>1746.4999999999995</v>
      </c>
      <c r="N170" t="str">
        <f t="shared" si="8"/>
        <v>High</v>
      </c>
    </row>
    <row r="171" spans="1:14" x14ac:dyDescent="0.3">
      <c r="A171" s="4">
        <v>46239</v>
      </c>
      <c r="B171" s="5">
        <v>2026</v>
      </c>
      <c r="C171" s="5" t="s">
        <v>44</v>
      </c>
      <c r="D171" s="5" t="s">
        <v>263</v>
      </c>
      <c r="E171" s="5" t="s">
        <v>254</v>
      </c>
      <c r="F171" s="5" t="s">
        <v>255</v>
      </c>
      <c r="G171" s="5" t="s">
        <v>252</v>
      </c>
      <c r="H171" s="5" t="s">
        <v>28</v>
      </c>
      <c r="I171" s="5">
        <v>16</v>
      </c>
      <c r="J171" s="5">
        <v>117.48</v>
      </c>
      <c r="K171" s="5">
        <v>1093.48</v>
      </c>
      <c r="L171" s="7">
        <f t="shared" si="6"/>
        <v>1879.68</v>
      </c>
      <c r="M171" s="7">
        <f t="shared" si="7"/>
        <v>786.2</v>
      </c>
      <c r="N171" t="str">
        <f t="shared" si="8"/>
        <v>Medium</v>
      </c>
    </row>
    <row r="172" spans="1:14" x14ac:dyDescent="0.3">
      <c r="A172" s="2">
        <v>46352</v>
      </c>
      <c r="B172" s="3">
        <v>2026</v>
      </c>
      <c r="C172" s="3" t="s">
        <v>57</v>
      </c>
      <c r="D172" s="3" t="s">
        <v>264</v>
      </c>
      <c r="E172" s="3" t="s">
        <v>258</v>
      </c>
      <c r="F172" s="3" t="s">
        <v>259</v>
      </c>
      <c r="G172" s="3" t="s">
        <v>252</v>
      </c>
      <c r="H172" s="3" t="s">
        <v>16</v>
      </c>
      <c r="I172" s="3">
        <v>19</v>
      </c>
      <c r="J172" s="3">
        <v>86.37</v>
      </c>
      <c r="K172" s="3">
        <v>1040.1099999999999</v>
      </c>
      <c r="L172" s="7">
        <f t="shared" si="6"/>
        <v>1641.0300000000002</v>
      </c>
      <c r="M172" s="7">
        <f t="shared" si="7"/>
        <v>600.9200000000003</v>
      </c>
      <c r="N172" t="str">
        <f t="shared" si="8"/>
        <v>Medium</v>
      </c>
    </row>
    <row r="173" spans="1:14" x14ac:dyDescent="0.3">
      <c r="A173" s="4">
        <v>46181</v>
      </c>
      <c r="B173" s="5">
        <v>2026</v>
      </c>
      <c r="C173" s="5" t="s">
        <v>253</v>
      </c>
      <c r="D173" s="5" t="s">
        <v>176</v>
      </c>
      <c r="E173" s="5" t="s">
        <v>250</v>
      </c>
      <c r="F173" s="5" t="s">
        <v>251</v>
      </c>
      <c r="G173" s="5" t="s">
        <v>252</v>
      </c>
      <c r="H173" s="5" t="s">
        <v>28</v>
      </c>
      <c r="I173" s="5">
        <v>14</v>
      </c>
      <c r="J173" s="5">
        <v>50.4</v>
      </c>
      <c r="K173" s="5">
        <v>530.99</v>
      </c>
      <c r="L173" s="7">
        <f t="shared" si="6"/>
        <v>705.6</v>
      </c>
      <c r="M173" s="7">
        <f t="shared" si="7"/>
        <v>174.61</v>
      </c>
      <c r="N173" t="str">
        <f t="shared" si="8"/>
        <v>Low</v>
      </c>
    </row>
    <row r="174" spans="1:14" x14ac:dyDescent="0.3">
      <c r="A174" s="2">
        <v>46220</v>
      </c>
      <c r="B174" s="3">
        <v>2026</v>
      </c>
      <c r="C174" s="3" t="s">
        <v>262</v>
      </c>
      <c r="D174" s="3" t="s">
        <v>97</v>
      </c>
      <c r="E174" s="3" t="s">
        <v>258</v>
      </c>
      <c r="F174" s="3" t="s">
        <v>259</v>
      </c>
      <c r="G174" s="3" t="s">
        <v>252</v>
      </c>
      <c r="H174" s="3" t="s">
        <v>28</v>
      </c>
      <c r="I174" s="3">
        <v>17</v>
      </c>
      <c r="J174" s="3">
        <v>45.58</v>
      </c>
      <c r="K174" s="3">
        <v>430.41</v>
      </c>
      <c r="L174" s="7">
        <f t="shared" si="6"/>
        <v>774.86</v>
      </c>
      <c r="M174" s="7">
        <f t="shared" si="7"/>
        <v>344.45</v>
      </c>
      <c r="N174" t="str">
        <f t="shared" si="8"/>
        <v>Low</v>
      </c>
    </row>
    <row r="175" spans="1:14" x14ac:dyDescent="0.3">
      <c r="A175" s="4">
        <v>46326</v>
      </c>
      <c r="B175" s="5">
        <v>2026</v>
      </c>
      <c r="C175" s="5" t="s">
        <v>158</v>
      </c>
      <c r="D175" s="5" t="s">
        <v>216</v>
      </c>
      <c r="E175" s="5" t="s">
        <v>265</v>
      </c>
      <c r="F175" s="5" t="s">
        <v>266</v>
      </c>
      <c r="G175" s="5" t="s">
        <v>252</v>
      </c>
      <c r="H175" s="5" t="s">
        <v>28</v>
      </c>
      <c r="I175" s="5">
        <v>16</v>
      </c>
      <c r="J175" s="5">
        <v>165.49</v>
      </c>
      <c r="K175" s="5">
        <v>1652.02</v>
      </c>
      <c r="L175" s="7">
        <f t="shared" si="6"/>
        <v>2647.84</v>
      </c>
      <c r="M175" s="7">
        <f t="shared" si="7"/>
        <v>995.82000000000016</v>
      </c>
      <c r="N175" t="str">
        <f t="shared" si="8"/>
        <v>Medium</v>
      </c>
    </row>
    <row r="176" spans="1:14" x14ac:dyDescent="0.3">
      <c r="A176" s="2">
        <v>46069</v>
      </c>
      <c r="B176" s="3">
        <v>2026</v>
      </c>
      <c r="C176" s="3" t="s">
        <v>74</v>
      </c>
      <c r="D176" s="3" t="s">
        <v>222</v>
      </c>
      <c r="E176" s="3" t="s">
        <v>265</v>
      </c>
      <c r="F176" s="3" t="s">
        <v>266</v>
      </c>
      <c r="G176" s="3" t="s">
        <v>252</v>
      </c>
      <c r="H176" s="3" t="s">
        <v>28</v>
      </c>
      <c r="I176" s="3">
        <v>5</v>
      </c>
      <c r="J176" s="3">
        <v>301.70999999999998</v>
      </c>
      <c r="K176" s="3">
        <v>946.8</v>
      </c>
      <c r="L176" s="7">
        <f t="shared" si="6"/>
        <v>1508.55</v>
      </c>
      <c r="M176" s="7">
        <f t="shared" si="7"/>
        <v>561.75</v>
      </c>
      <c r="N176" t="str">
        <f t="shared" si="8"/>
        <v>Medium</v>
      </c>
    </row>
    <row r="177" spans="1:14" x14ac:dyDescent="0.3">
      <c r="A177" s="4">
        <v>46133</v>
      </c>
      <c r="B177" s="5">
        <v>2026</v>
      </c>
      <c r="C177" s="5" t="s">
        <v>198</v>
      </c>
      <c r="D177" s="5" t="s">
        <v>267</v>
      </c>
      <c r="E177" s="5" t="s">
        <v>265</v>
      </c>
      <c r="F177" s="5" t="s">
        <v>266</v>
      </c>
      <c r="G177" s="5" t="s">
        <v>252</v>
      </c>
      <c r="H177" s="5" t="s">
        <v>16</v>
      </c>
      <c r="I177" s="5">
        <v>12</v>
      </c>
      <c r="J177" s="5">
        <v>383.57</v>
      </c>
      <c r="K177" s="5">
        <v>2451.6</v>
      </c>
      <c r="L177" s="7">
        <f t="shared" si="6"/>
        <v>4602.84</v>
      </c>
      <c r="M177" s="7">
        <f t="shared" si="7"/>
        <v>2151.2400000000002</v>
      </c>
      <c r="N177" t="str">
        <f t="shared" si="8"/>
        <v>High</v>
      </c>
    </row>
    <row r="178" spans="1:14" x14ac:dyDescent="0.3">
      <c r="A178" s="2">
        <v>46203</v>
      </c>
      <c r="B178" s="3">
        <v>2026</v>
      </c>
      <c r="C178" s="3" t="s">
        <v>55</v>
      </c>
      <c r="D178" s="3" t="s">
        <v>268</v>
      </c>
      <c r="E178" s="3" t="s">
        <v>269</v>
      </c>
      <c r="F178" s="3" t="s">
        <v>270</v>
      </c>
      <c r="G178" s="3" t="s">
        <v>252</v>
      </c>
      <c r="H178" s="3" t="s">
        <v>39</v>
      </c>
      <c r="I178" s="3">
        <v>10</v>
      </c>
      <c r="J178" s="3">
        <v>361.07</v>
      </c>
      <c r="K178" s="3">
        <v>2280.79</v>
      </c>
      <c r="L178" s="7">
        <f t="shared" si="6"/>
        <v>3610.7</v>
      </c>
      <c r="M178" s="7">
        <f t="shared" si="7"/>
        <v>1329.9099999999999</v>
      </c>
      <c r="N178" t="str">
        <f t="shared" si="8"/>
        <v>High</v>
      </c>
    </row>
    <row r="179" spans="1:14" x14ac:dyDescent="0.3">
      <c r="A179" s="4">
        <v>46098</v>
      </c>
      <c r="B179" s="5">
        <v>2026</v>
      </c>
      <c r="C179" s="5" t="s">
        <v>271</v>
      </c>
      <c r="D179" s="5" t="s">
        <v>272</v>
      </c>
      <c r="E179" s="5" t="s">
        <v>269</v>
      </c>
      <c r="F179" s="5" t="s">
        <v>270</v>
      </c>
      <c r="G179" s="5" t="s">
        <v>252</v>
      </c>
      <c r="H179" s="5" t="s">
        <v>28</v>
      </c>
      <c r="I179" s="5">
        <v>9</v>
      </c>
      <c r="J179" s="5">
        <v>396.31</v>
      </c>
      <c r="K179" s="5">
        <v>2657.78</v>
      </c>
      <c r="L179" s="7">
        <f t="shared" si="6"/>
        <v>3566.79</v>
      </c>
      <c r="M179" s="7">
        <f t="shared" si="7"/>
        <v>909.00999999999976</v>
      </c>
      <c r="N179" t="str">
        <f t="shared" si="8"/>
        <v>High</v>
      </c>
    </row>
    <row r="180" spans="1:14" x14ac:dyDescent="0.3">
      <c r="A180" s="2">
        <v>46061</v>
      </c>
      <c r="B180" s="3">
        <v>2026</v>
      </c>
      <c r="C180" s="3" t="s">
        <v>204</v>
      </c>
      <c r="D180" s="3" t="s">
        <v>107</v>
      </c>
      <c r="E180" s="3" t="s">
        <v>269</v>
      </c>
      <c r="F180" s="3" t="s">
        <v>270</v>
      </c>
      <c r="G180" s="3" t="s">
        <v>252</v>
      </c>
      <c r="H180" s="3" t="s">
        <v>28</v>
      </c>
      <c r="I180" s="3">
        <v>2</v>
      </c>
      <c r="J180" s="3">
        <v>403.73</v>
      </c>
      <c r="K180" s="3">
        <v>671.14</v>
      </c>
      <c r="L180" s="7">
        <f t="shared" si="6"/>
        <v>807.46</v>
      </c>
      <c r="M180" s="7">
        <f t="shared" si="7"/>
        <v>136.32000000000005</v>
      </c>
      <c r="N180" t="str">
        <f t="shared" si="8"/>
        <v>Low</v>
      </c>
    </row>
    <row r="181" spans="1:14" x14ac:dyDescent="0.3">
      <c r="A181" s="4">
        <v>46040</v>
      </c>
      <c r="B181" s="5">
        <v>2026</v>
      </c>
      <c r="C181" s="5" t="s">
        <v>183</v>
      </c>
      <c r="D181" s="5" t="s">
        <v>211</v>
      </c>
      <c r="E181" s="5" t="s">
        <v>258</v>
      </c>
      <c r="F181" s="5" t="s">
        <v>259</v>
      </c>
      <c r="G181" s="5" t="s">
        <v>252</v>
      </c>
      <c r="H181" s="5" t="s">
        <v>16</v>
      </c>
      <c r="I181" s="5">
        <v>15</v>
      </c>
      <c r="J181" s="5">
        <v>230.1</v>
      </c>
      <c r="K181" s="5">
        <v>2615.1</v>
      </c>
      <c r="L181" s="7">
        <f t="shared" si="6"/>
        <v>3451.5</v>
      </c>
      <c r="M181" s="7">
        <f t="shared" si="7"/>
        <v>836.40000000000009</v>
      </c>
      <c r="N181" t="str">
        <f t="shared" si="8"/>
        <v>High</v>
      </c>
    </row>
    <row r="182" spans="1:14" x14ac:dyDescent="0.3">
      <c r="A182" s="2">
        <v>46045</v>
      </c>
      <c r="B182" s="3">
        <v>2026</v>
      </c>
      <c r="C182" s="3" t="s">
        <v>273</v>
      </c>
      <c r="D182" s="3" t="s">
        <v>274</v>
      </c>
      <c r="E182" s="3" t="s">
        <v>250</v>
      </c>
      <c r="F182" s="3" t="s">
        <v>251</v>
      </c>
      <c r="G182" s="3" t="s">
        <v>252</v>
      </c>
      <c r="H182" s="3" t="s">
        <v>39</v>
      </c>
      <c r="I182" s="3">
        <v>3</v>
      </c>
      <c r="J182" s="3">
        <v>121.64</v>
      </c>
      <c r="K182" s="3">
        <v>293.7</v>
      </c>
      <c r="L182" s="7">
        <f t="shared" si="6"/>
        <v>364.92</v>
      </c>
      <c r="M182" s="7">
        <f t="shared" si="7"/>
        <v>71.220000000000027</v>
      </c>
      <c r="N182" t="str">
        <f t="shared" si="8"/>
        <v>Low</v>
      </c>
    </row>
    <row r="183" spans="1:14" x14ac:dyDescent="0.3">
      <c r="A183" s="4">
        <v>46107</v>
      </c>
      <c r="B183" s="5">
        <v>2026</v>
      </c>
      <c r="C183" s="5" t="s">
        <v>44</v>
      </c>
      <c r="D183" s="5" t="s">
        <v>147</v>
      </c>
      <c r="E183" s="5" t="s">
        <v>269</v>
      </c>
      <c r="F183" s="5" t="s">
        <v>270</v>
      </c>
      <c r="G183" s="5" t="s">
        <v>252</v>
      </c>
      <c r="H183" s="5" t="s">
        <v>16</v>
      </c>
      <c r="I183" s="5">
        <v>5</v>
      </c>
      <c r="J183" s="5">
        <v>355.27</v>
      </c>
      <c r="K183" s="5">
        <v>1123.1300000000001</v>
      </c>
      <c r="L183" s="7">
        <f t="shared" si="6"/>
        <v>1776.35</v>
      </c>
      <c r="M183" s="7">
        <f t="shared" si="7"/>
        <v>653.2199999999998</v>
      </c>
      <c r="N183" t="str">
        <f t="shared" si="8"/>
        <v>Medium</v>
      </c>
    </row>
    <row r="184" spans="1:14" x14ac:dyDescent="0.3">
      <c r="A184" s="2">
        <v>46361</v>
      </c>
      <c r="B184" s="3">
        <v>2026</v>
      </c>
      <c r="C184" s="3" t="s">
        <v>57</v>
      </c>
      <c r="D184" s="3" t="s">
        <v>91</v>
      </c>
      <c r="E184" s="3" t="s">
        <v>265</v>
      </c>
      <c r="F184" s="3" t="s">
        <v>266</v>
      </c>
      <c r="G184" s="3" t="s">
        <v>252</v>
      </c>
      <c r="H184" s="3" t="s">
        <v>28</v>
      </c>
      <c r="I184" s="3">
        <v>10</v>
      </c>
      <c r="J184" s="3">
        <v>373.45</v>
      </c>
      <c r="K184" s="3">
        <v>2191.7600000000002</v>
      </c>
      <c r="L184" s="7">
        <f t="shared" si="6"/>
        <v>3734.5</v>
      </c>
      <c r="M184" s="7">
        <f t="shared" si="7"/>
        <v>1542.7399999999998</v>
      </c>
      <c r="N184" t="str">
        <f t="shared" si="8"/>
        <v>High</v>
      </c>
    </row>
    <row r="185" spans="1:14" x14ac:dyDescent="0.3">
      <c r="A185" s="4">
        <v>46378</v>
      </c>
      <c r="B185" s="5">
        <v>2026</v>
      </c>
      <c r="C185" s="5" t="s">
        <v>223</v>
      </c>
      <c r="D185" s="5" t="s">
        <v>275</v>
      </c>
      <c r="E185" s="5" t="s">
        <v>265</v>
      </c>
      <c r="F185" s="5" t="s">
        <v>266</v>
      </c>
      <c r="G185" s="5" t="s">
        <v>252</v>
      </c>
      <c r="H185" s="5" t="s">
        <v>16</v>
      </c>
      <c r="I185" s="5">
        <v>9</v>
      </c>
      <c r="J185" s="5">
        <v>85.13</v>
      </c>
      <c r="K185" s="5">
        <v>528.9</v>
      </c>
      <c r="L185" s="7">
        <f t="shared" si="6"/>
        <v>766.17</v>
      </c>
      <c r="M185" s="7">
        <f t="shared" si="7"/>
        <v>237.26999999999998</v>
      </c>
      <c r="N185" t="str">
        <f t="shared" si="8"/>
        <v>Low</v>
      </c>
    </row>
    <row r="186" spans="1:14" x14ac:dyDescent="0.3">
      <c r="A186" s="2">
        <v>46212</v>
      </c>
      <c r="B186" s="3">
        <v>2026</v>
      </c>
      <c r="C186" s="3" t="s">
        <v>276</v>
      </c>
      <c r="D186" s="3" t="s">
        <v>277</v>
      </c>
      <c r="E186" s="3" t="s">
        <v>254</v>
      </c>
      <c r="F186" s="3" t="s">
        <v>255</v>
      </c>
      <c r="G186" s="3" t="s">
        <v>252</v>
      </c>
      <c r="H186" s="3" t="s">
        <v>39</v>
      </c>
      <c r="I186" s="3">
        <v>9</v>
      </c>
      <c r="J186" s="3">
        <v>417.78</v>
      </c>
      <c r="K186" s="3">
        <v>2178.06</v>
      </c>
      <c r="L186" s="7">
        <f t="shared" si="6"/>
        <v>3760.0199999999995</v>
      </c>
      <c r="M186" s="7">
        <f t="shared" si="7"/>
        <v>1581.9599999999996</v>
      </c>
      <c r="N186" t="str">
        <f t="shared" si="8"/>
        <v>High</v>
      </c>
    </row>
    <row r="187" spans="1:14" x14ac:dyDescent="0.3">
      <c r="A187" s="4">
        <v>46170</v>
      </c>
      <c r="B187" s="5">
        <v>2026</v>
      </c>
      <c r="C187" s="5" t="s">
        <v>104</v>
      </c>
      <c r="D187" s="5" t="s">
        <v>182</v>
      </c>
      <c r="E187" s="5" t="s">
        <v>258</v>
      </c>
      <c r="F187" s="5" t="s">
        <v>259</v>
      </c>
      <c r="G187" s="5" t="s">
        <v>252</v>
      </c>
      <c r="H187" s="5" t="s">
        <v>39</v>
      </c>
      <c r="I187" s="5">
        <v>3</v>
      </c>
      <c r="J187" s="5">
        <v>262.91000000000003</v>
      </c>
      <c r="K187" s="5">
        <v>448.83</v>
      </c>
      <c r="L187" s="7">
        <f t="shared" si="6"/>
        <v>788.73</v>
      </c>
      <c r="M187" s="7">
        <f t="shared" si="7"/>
        <v>339.90000000000003</v>
      </c>
      <c r="N187" t="str">
        <f t="shared" si="8"/>
        <v>Low</v>
      </c>
    </row>
    <row r="188" spans="1:14" x14ac:dyDescent="0.3">
      <c r="A188" s="2">
        <v>46337</v>
      </c>
      <c r="B188" s="3">
        <v>2026</v>
      </c>
      <c r="C188" s="3" t="s">
        <v>76</v>
      </c>
      <c r="D188" s="3" t="s">
        <v>83</v>
      </c>
      <c r="E188" s="3" t="s">
        <v>258</v>
      </c>
      <c r="F188" s="3" t="s">
        <v>259</v>
      </c>
      <c r="G188" s="3" t="s">
        <v>252</v>
      </c>
      <c r="H188" s="3" t="s">
        <v>28</v>
      </c>
      <c r="I188" s="3">
        <v>16</v>
      </c>
      <c r="J188" s="3">
        <v>189.88</v>
      </c>
      <c r="K188" s="3">
        <v>1938.21</v>
      </c>
      <c r="L188" s="7">
        <f t="shared" si="6"/>
        <v>3038.08</v>
      </c>
      <c r="M188" s="7">
        <f t="shared" si="7"/>
        <v>1099.8699999999999</v>
      </c>
      <c r="N188" t="str">
        <f t="shared" si="8"/>
        <v>High</v>
      </c>
    </row>
    <row r="189" spans="1:14" x14ac:dyDescent="0.3">
      <c r="A189" s="4">
        <v>46259</v>
      </c>
      <c r="B189" s="5">
        <v>2026</v>
      </c>
      <c r="C189" s="5" t="s">
        <v>183</v>
      </c>
      <c r="D189" s="5" t="s">
        <v>278</v>
      </c>
      <c r="E189" s="5" t="s">
        <v>250</v>
      </c>
      <c r="F189" s="5" t="s">
        <v>251</v>
      </c>
      <c r="G189" s="5" t="s">
        <v>252</v>
      </c>
      <c r="H189" s="5" t="s">
        <v>21</v>
      </c>
      <c r="I189" s="5">
        <v>8</v>
      </c>
      <c r="J189" s="5">
        <v>439.12</v>
      </c>
      <c r="K189" s="5">
        <v>2010.79</v>
      </c>
      <c r="L189" s="7">
        <f t="shared" si="6"/>
        <v>3512.96</v>
      </c>
      <c r="M189" s="7">
        <f t="shared" si="7"/>
        <v>1502.17</v>
      </c>
      <c r="N189" t="str">
        <f t="shared" si="8"/>
        <v>High</v>
      </c>
    </row>
    <row r="190" spans="1:14" x14ac:dyDescent="0.3">
      <c r="A190" s="2">
        <v>46350</v>
      </c>
      <c r="B190" s="3">
        <v>2026</v>
      </c>
      <c r="C190" s="3" t="s">
        <v>17</v>
      </c>
      <c r="D190" s="3" t="s">
        <v>278</v>
      </c>
      <c r="E190" s="3" t="s">
        <v>265</v>
      </c>
      <c r="F190" s="3" t="s">
        <v>266</v>
      </c>
      <c r="G190" s="3" t="s">
        <v>252</v>
      </c>
      <c r="H190" s="3" t="s">
        <v>39</v>
      </c>
      <c r="I190" s="3">
        <v>5</v>
      </c>
      <c r="J190" s="3">
        <v>156.69999999999999</v>
      </c>
      <c r="K190" s="3">
        <v>578.53</v>
      </c>
      <c r="L190" s="7">
        <f t="shared" si="6"/>
        <v>783.5</v>
      </c>
      <c r="M190" s="7">
        <f t="shared" si="7"/>
        <v>204.97000000000003</v>
      </c>
      <c r="N190" t="str">
        <f t="shared" si="8"/>
        <v>Low</v>
      </c>
    </row>
    <row r="191" spans="1:14" x14ac:dyDescent="0.3">
      <c r="A191" s="4">
        <v>46358</v>
      </c>
      <c r="B191" s="5">
        <v>2026</v>
      </c>
      <c r="C191" s="5" t="s">
        <v>279</v>
      </c>
      <c r="D191" s="5" t="s">
        <v>280</v>
      </c>
      <c r="E191" s="5" t="s">
        <v>269</v>
      </c>
      <c r="F191" s="5" t="s">
        <v>270</v>
      </c>
      <c r="G191" s="5" t="s">
        <v>252</v>
      </c>
      <c r="H191" s="5" t="s">
        <v>21</v>
      </c>
      <c r="I191" s="5">
        <v>10</v>
      </c>
      <c r="J191" s="5">
        <v>184.53</v>
      </c>
      <c r="K191" s="5">
        <v>1402.27</v>
      </c>
      <c r="L191" s="7">
        <f t="shared" si="6"/>
        <v>1845.3</v>
      </c>
      <c r="M191" s="7">
        <f t="shared" si="7"/>
        <v>443.03</v>
      </c>
      <c r="N191" t="str">
        <f t="shared" si="8"/>
        <v>Medium</v>
      </c>
    </row>
    <row r="192" spans="1:14" x14ac:dyDescent="0.3">
      <c r="A192" s="2">
        <v>46267</v>
      </c>
      <c r="B192" s="3">
        <v>2026</v>
      </c>
      <c r="C192" s="3" t="s">
        <v>61</v>
      </c>
      <c r="D192" s="3" t="s">
        <v>38</v>
      </c>
      <c r="E192" s="3" t="s">
        <v>265</v>
      </c>
      <c r="F192" s="3" t="s">
        <v>266</v>
      </c>
      <c r="G192" s="3" t="s">
        <v>252</v>
      </c>
      <c r="H192" s="3" t="s">
        <v>28</v>
      </c>
      <c r="I192" s="3">
        <v>11</v>
      </c>
      <c r="J192" s="3">
        <v>35.880000000000003</v>
      </c>
      <c r="K192" s="3">
        <v>275.92</v>
      </c>
      <c r="L192" s="7">
        <f t="shared" si="6"/>
        <v>394.68</v>
      </c>
      <c r="M192" s="7">
        <f t="shared" si="7"/>
        <v>118.75999999999999</v>
      </c>
      <c r="N192" t="str">
        <f t="shared" si="8"/>
        <v>Low</v>
      </c>
    </row>
    <row r="193" spans="1:14" x14ac:dyDescent="0.3">
      <c r="A193" s="4">
        <v>46062</v>
      </c>
      <c r="B193" s="5">
        <v>2026</v>
      </c>
      <c r="C193" s="5" t="s">
        <v>151</v>
      </c>
      <c r="D193" s="5" t="s">
        <v>281</v>
      </c>
      <c r="E193" s="5" t="s">
        <v>265</v>
      </c>
      <c r="F193" s="5" t="s">
        <v>266</v>
      </c>
      <c r="G193" s="5" t="s">
        <v>252</v>
      </c>
      <c r="H193" s="5" t="s">
        <v>21</v>
      </c>
      <c r="I193" s="5">
        <v>3</v>
      </c>
      <c r="J193" s="5">
        <v>44.22</v>
      </c>
      <c r="K193" s="5">
        <v>96.68</v>
      </c>
      <c r="L193" s="7">
        <f t="shared" si="6"/>
        <v>132.66</v>
      </c>
      <c r="M193" s="7">
        <f t="shared" si="7"/>
        <v>35.97999999999999</v>
      </c>
      <c r="N193" t="str">
        <f t="shared" si="8"/>
        <v>Low</v>
      </c>
    </row>
    <row r="194" spans="1:14" x14ac:dyDescent="0.3">
      <c r="A194" s="2">
        <v>46142</v>
      </c>
      <c r="B194" s="3">
        <v>2026</v>
      </c>
      <c r="C194" s="3" t="s">
        <v>150</v>
      </c>
      <c r="D194" s="3" t="s">
        <v>282</v>
      </c>
      <c r="E194" s="3" t="s">
        <v>269</v>
      </c>
      <c r="F194" s="3" t="s">
        <v>270</v>
      </c>
      <c r="G194" s="3" t="s">
        <v>252</v>
      </c>
      <c r="H194" s="3" t="s">
        <v>21</v>
      </c>
      <c r="I194" s="3">
        <v>3</v>
      </c>
      <c r="J194" s="3">
        <v>311.81</v>
      </c>
      <c r="K194" s="3">
        <v>515.79</v>
      </c>
      <c r="L194" s="7">
        <f t="shared" si="6"/>
        <v>935.43000000000006</v>
      </c>
      <c r="M194" s="7">
        <f t="shared" si="7"/>
        <v>419.6400000000001</v>
      </c>
      <c r="N194" t="str">
        <f t="shared" si="8"/>
        <v>Low</v>
      </c>
    </row>
    <row r="195" spans="1:14" x14ac:dyDescent="0.3">
      <c r="A195" s="4">
        <v>46229</v>
      </c>
      <c r="B195" s="5">
        <v>2026</v>
      </c>
      <c r="C195" s="5" t="s">
        <v>262</v>
      </c>
      <c r="D195" s="5" t="s">
        <v>283</v>
      </c>
      <c r="E195" s="5" t="s">
        <v>265</v>
      </c>
      <c r="F195" s="5" t="s">
        <v>266</v>
      </c>
      <c r="G195" s="5" t="s">
        <v>252</v>
      </c>
      <c r="H195" s="5" t="s">
        <v>16</v>
      </c>
      <c r="I195" s="5">
        <v>2</v>
      </c>
      <c r="J195" s="5">
        <v>140.81</v>
      </c>
      <c r="K195" s="5">
        <v>237.34</v>
      </c>
      <c r="L195" s="7">
        <f t="shared" ref="L195:L258" si="9">I195*J195</f>
        <v>281.62</v>
      </c>
      <c r="M195" s="7">
        <f t="shared" ref="M195:M258" si="10">L195-K195</f>
        <v>44.28</v>
      </c>
      <c r="N195" t="str">
        <f t="shared" ref="N195:N258" si="11">IF(L195&gt;=3000,"High",IF(L195&gt;=1500,"Medium","Low"))</f>
        <v>Low</v>
      </c>
    </row>
    <row r="196" spans="1:14" x14ac:dyDescent="0.3">
      <c r="A196" s="2">
        <v>46293</v>
      </c>
      <c r="B196" s="3">
        <v>2026</v>
      </c>
      <c r="C196" s="3" t="s">
        <v>248</v>
      </c>
      <c r="D196" s="3" t="s">
        <v>284</v>
      </c>
      <c r="E196" s="3" t="s">
        <v>250</v>
      </c>
      <c r="F196" s="3" t="s">
        <v>251</v>
      </c>
      <c r="G196" s="3" t="s">
        <v>252</v>
      </c>
      <c r="H196" s="3" t="s">
        <v>39</v>
      </c>
      <c r="I196" s="3">
        <v>3</v>
      </c>
      <c r="J196" s="3">
        <v>66.319999999999993</v>
      </c>
      <c r="K196" s="3">
        <v>164.8</v>
      </c>
      <c r="L196" s="7">
        <f t="shared" si="9"/>
        <v>198.95999999999998</v>
      </c>
      <c r="M196" s="7">
        <f t="shared" si="10"/>
        <v>34.159999999999968</v>
      </c>
      <c r="N196" t="str">
        <f t="shared" si="11"/>
        <v>Low</v>
      </c>
    </row>
    <row r="197" spans="1:14" x14ac:dyDescent="0.3">
      <c r="A197" s="4">
        <v>46386</v>
      </c>
      <c r="B197" s="5">
        <v>2026</v>
      </c>
      <c r="C197" s="5" t="s">
        <v>163</v>
      </c>
      <c r="D197" s="5" t="s">
        <v>285</v>
      </c>
      <c r="E197" s="5" t="s">
        <v>254</v>
      </c>
      <c r="F197" s="5" t="s">
        <v>255</v>
      </c>
      <c r="G197" s="5" t="s">
        <v>252</v>
      </c>
      <c r="H197" s="5" t="s">
        <v>21</v>
      </c>
      <c r="I197" s="5">
        <v>2</v>
      </c>
      <c r="J197" s="5">
        <v>67.33</v>
      </c>
      <c r="K197" s="5">
        <v>99.49</v>
      </c>
      <c r="L197" s="7">
        <f t="shared" si="9"/>
        <v>134.66</v>
      </c>
      <c r="M197" s="7">
        <f t="shared" si="10"/>
        <v>35.17</v>
      </c>
      <c r="N197" t="str">
        <f t="shared" si="11"/>
        <v>Low</v>
      </c>
    </row>
    <row r="198" spans="1:14" x14ac:dyDescent="0.3">
      <c r="A198" s="2">
        <v>46161</v>
      </c>
      <c r="B198" s="3">
        <v>2026</v>
      </c>
      <c r="C198" s="3" t="s">
        <v>230</v>
      </c>
      <c r="D198" s="3" t="s">
        <v>34</v>
      </c>
      <c r="E198" s="3" t="s">
        <v>286</v>
      </c>
      <c r="F198" s="3" t="s">
        <v>287</v>
      </c>
      <c r="G198" s="3" t="s">
        <v>288</v>
      </c>
      <c r="H198" s="3" t="s">
        <v>16</v>
      </c>
      <c r="I198" s="3">
        <v>10</v>
      </c>
      <c r="J198" s="3">
        <v>462.99</v>
      </c>
      <c r="K198" s="3">
        <v>3011.06</v>
      </c>
      <c r="L198" s="7">
        <f t="shared" si="9"/>
        <v>4629.8999999999996</v>
      </c>
      <c r="M198" s="7">
        <f t="shared" si="10"/>
        <v>1618.8399999999997</v>
      </c>
      <c r="N198" t="str">
        <f t="shared" si="11"/>
        <v>High</v>
      </c>
    </row>
    <row r="199" spans="1:14" x14ac:dyDescent="0.3">
      <c r="A199" s="4">
        <v>46141</v>
      </c>
      <c r="B199" s="5">
        <v>2026</v>
      </c>
      <c r="C199" s="5" t="s">
        <v>192</v>
      </c>
      <c r="D199" s="5" t="s">
        <v>178</v>
      </c>
      <c r="E199" s="5" t="s">
        <v>286</v>
      </c>
      <c r="F199" s="5" t="s">
        <v>287</v>
      </c>
      <c r="G199" s="5" t="s">
        <v>288</v>
      </c>
      <c r="H199" s="5" t="s">
        <v>21</v>
      </c>
      <c r="I199" s="5">
        <v>16</v>
      </c>
      <c r="J199" s="5">
        <v>186.91</v>
      </c>
      <c r="K199" s="5">
        <v>2156.7199999999998</v>
      </c>
      <c r="L199" s="7">
        <f t="shared" si="9"/>
        <v>2990.56</v>
      </c>
      <c r="M199" s="7">
        <f t="shared" si="10"/>
        <v>833.84000000000015</v>
      </c>
      <c r="N199" t="str">
        <f t="shared" si="11"/>
        <v>Medium</v>
      </c>
    </row>
    <row r="200" spans="1:14" x14ac:dyDescent="0.3">
      <c r="A200" s="2">
        <v>46138</v>
      </c>
      <c r="B200" s="3">
        <v>2026</v>
      </c>
      <c r="C200" s="3" t="s">
        <v>192</v>
      </c>
      <c r="D200" s="3" t="s">
        <v>60</v>
      </c>
      <c r="E200" s="3" t="s">
        <v>289</v>
      </c>
      <c r="F200" s="3" t="s">
        <v>290</v>
      </c>
      <c r="G200" s="3" t="s">
        <v>288</v>
      </c>
      <c r="H200" s="3" t="s">
        <v>39</v>
      </c>
      <c r="I200" s="3">
        <v>14</v>
      </c>
      <c r="J200" s="3">
        <v>220.19</v>
      </c>
      <c r="K200" s="3">
        <v>1946.38</v>
      </c>
      <c r="L200" s="7">
        <f t="shared" si="9"/>
        <v>3082.66</v>
      </c>
      <c r="M200" s="7">
        <f t="shared" si="10"/>
        <v>1136.2799999999997</v>
      </c>
      <c r="N200" t="str">
        <f t="shared" si="11"/>
        <v>High</v>
      </c>
    </row>
    <row r="201" spans="1:14" x14ac:dyDescent="0.3">
      <c r="A201" s="4">
        <v>46227</v>
      </c>
      <c r="B201" s="5">
        <v>2026</v>
      </c>
      <c r="C201" s="5" t="s">
        <v>273</v>
      </c>
      <c r="D201" s="5" t="s">
        <v>185</v>
      </c>
      <c r="E201" s="5" t="s">
        <v>291</v>
      </c>
      <c r="F201" s="5" t="s">
        <v>292</v>
      </c>
      <c r="G201" s="5" t="s">
        <v>288</v>
      </c>
      <c r="H201" s="5" t="s">
        <v>39</v>
      </c>
      <c r="I201" s="5">
        <v>16</v>
      </c>
      <c r="J201" s="5">
        <v>139.33000000000001</v>
      </c>
      <c r="K201" s="5">
        <v>1500.36</v>
      </c>
      <c r="L201" s="7">
        <f t="shared" si="9"/>
        <v>2229.2800000000002</v>
      </c>
      <c r="M201" s="7">
        <f t="shared" si="10"/>
        <v>728.9200000000003</v>
      </c>
      <c r="N201" t="str">
        <f t="shared" si="11"/>
        <v>Medium</v>
      </c>
    </row>
    <row r="202" spans="1:14" x14ac:dyDescent="0.3">
      <c r="A202" s="2">
        <v>46138</v>
      </c>
      <c r="B202" s="3">
        <v>2026</v>
      </c>
      <c r="C202" s="3" t="s">
        <v>71</v>
      </c>
      <c r="D202" s="3" t="s">
        <v>293</v>
      </c>
      <c r="E202" s="3" t="s">
        <v>289</v>
      </c>
      <c r="F202" s="3" t="s">
        <v>290</v>
      </c>
      <c r="G202" s="3" t="s">
        <v>288</v>
      </c>
      <c r="H202" s="3" t="s">
        <v>16</v>
      </c>
      <c r="I202" s="3">
        <v>3</v>
      </c>
      <c r="J202" s="3">
        <v>402.81</v>
      </c>
      <c r="K202" s="3">
        <v>792.95</v>
      </c>
      <c r="L202" s="7">
        <f t="shared" si="9"/>
        <v>1208.43</v>
      </c>
      <c r="M202" s="7">
        <f t="shared" si="10"/>
        <v>415.48</v>
      </c>
      <c r="N202" t="str">
        <f t="shared" si="11"/>
        <v>Low</v>
      </c>
    </row>
    <row r="203" spans="1:14" x14ac:dyDescent="0.3">
      <c r="A203" s="4">
        <v>46124</v>
      </c>
      <c r="B203" s="5">
        <v>2026</v>
      </c>
      <c r="C203" s="5" t="s">
        <v>96</v>
      </c>
      <c r="D203" s="5" t="s">
        <v>191</v>
      </c>
      <c r="E203" s="5" t="s">
        <v>294</v>
      </c>
      <c r="F203" s="5" t="s">
        <v>295</v>
      </c>
      <c r="G203" s="5" t="s">
        <v>288</v>
      </c>
      <c r="H203" s="5" t="s">
        <v>28</v>
      </c>
      <c r="I203" s="5">
        <v>4</v>
      </c>
      <c r="J203" s="5">
        <v>143.11000000000001</v>
      </c>
      <c r="K203" s="5">
        <v>465.64</v>
      </c>
      <c r="L203" s="7">
        <f t="shared" si="9"/>
        <v>572.44000000000005</v>
      </c>
      <c r="M203" s="7">
        <f t="shared" si="10"/>
        <v>106.80000000000007</v>
      </c>
      <c r="N203" t="str">
        <f t="shared" si="11"/>
        <v>Low</v>
      </c>
    </row>
    <row r="204" spans="1:14" x14ac:dyDescent="0.3">
      <c r="A204" s="2">
        <v>46383</v>
      </c>
      <c r="B204" s="3">
        <v>2026</v>
      </c>
      <c r="C204" s="3" t="s">
        <v>260</v>
      </c>
      <c r="D204" s="3" t="s">
        <v>296</v>
      </c>
      <c r="E204" s="3" t="s">
        <v>289</v>
      </c>
      <c r="F204" s="3" t="s">
        <v>290</v>
      </c>
      <c r="G204" s="3" t="s">
        <v>288</v>
      </c>
      <c r="H204" s="3" t="s">
        <v>39</v>
      </c>
      <c r="I204" s="3">
        <v>7</v>
      </c>
      <c r="J204" s="3">
        <v>478.81</v>
      </c>
      <c r="K204" s="3">
        <v>2028.75</v>
      </c>
      <c r="L204" s="7">
        <f t="shared" si="9"/>
        <v>3351.67</v>
      </c>
      <c r="M204" s="7">
        <f t="shared" si="10"/>
        <v>1322.92</v>
      </c>
      <c r="N204" t="str">
        <f t="shared" si="11"/>
        <v>High</v>
      </c>
    </row>
    <row r="205" spans="1:14" x14ac:dyDescent="0.3">
      <c r="A205" s="4">
        <v>46386</v>
      </c>
      <c r="B205" s="5">
        <v>2026</v>
      </c>
      <c r="C205" s="5" t="s">
        <v>297</v>
      </c>
      <c r="D205" s="5" t="s">
        <v>30</v>
      </c>
      <c r="E205" s="5" t="s">
        <v>294</v>
      </c>
      <c r="F205" s="5" t="s">
        <v>295</v>
      </c>
      <c r="G205" s="5" t="s">
        <v>288</v>
      </c>
      <c r="H205" s="5" t="s">
        <v>16</v>
      </c>
      <c r="I205" s="5">
        <v>9</v>
      </c>
      <c r="J205" s="5">
        <v>151.97</v>
      </c>
      <c r="K205" s="5">
        <v>1133.57</v>
      </c>
      <c r="L205" s="7">
        <f t="shared" si="9"/>
        <v>1367.73</v>
      </c>
      <c r="M205" s="7">
        <f t="shared" si="10"/>
        <v>234.16000000000008</v>
      </c>
      <c r="N205" t="str">
        <f t="shared" si="11"/>
        <v>Low</v>
      </c>
    </row>
    <row r="206" spans="1:14" x14ac:dyDescent="0.3">
      <c r="A206" s="2">
        <v>46312</v>
      </c>
      <c r="B206" s="3">
        <v>2026</v>
      </c>
      <c r="C206" s="3" t="s">
        <v>298</v>
      </c>
      <c r="D206" s="3" t="s">
        <v>233</v>
      </c>
      <c r="E206" s="3" t="s">
        <v>291</v>
      </c>
      <c r="F206" s="3" t="s">
        <v>292</v>
      </c>
      <c r="G206" s="3" t="s">
        <v>288</v>
      </c>
      <c r="H206" s="3" t="s">
        <v>16</v>
      </c>
      <c r="I206" s="3">
        <v>3</v>
      </c>
      <c r="J206" s="3">
        <v>165.35</v>
      </c>
      <c r="K206" s="3">
        <v>308.73</v>
      </c>
      <c r="L206" s="7">
        <f t="shared" si="9"/>
        <v>496.04999999999995</v>
      </c>
      <c r="M206" s="7">
        <f t="shared" si="10"/>
        <v>187.31999999999994</v>
      </c>
      <c r="N206" t="str">
        <f t="shared" si="11"/>
        <v>Low</v>
      </c>
    </row>
    <row r="207" spans="1:14" x14ac:dyDescent="0.3">
      <c r="A207" s="4">
        <v>46208</v>
      </c>
      <c r="B207" s="5">
        <v>2026</v>
      </c>
      <c r="C207" s="5" t="s">
        <v>279</v>
      </c>
      <c r="D207" s="5" t="s">
        <v>239</v>
      </c>
      <c r="E207" s="5" t="s">
        <v>291</v>
      </c>
      <c r="F207" s="5" t="s">
        <v>292</v>
      </c>
      <c r="G207" s="5" t="s">
        <v>288</v>
      </c>
      <c r="H207" s="5" t="s">
        <v>39</v>
      </c>
      <c r="I207" s="5">
        <v>15</v>
      </c>
      <c r="J207" s="5">
        <v>142.41999999999999</v>
      </c>
      <c r="K207" s="5">
        <v>1405.72</v>
      </c>
      <c r="L207" s="7">
        <f t="shared" si="9"/>
        <v>2136.2999999999997</v>
      </c>
      <c r="M207" s="7">
        <f t="shared" si="10"/>
        <v>730.5799999999997</v>
      </c>
      <c r="N207" t="str">
        <f t="shared" si="11"/>
        <v>Medium</v>
      </c>
    </row>
    <row r="208" spans="1:14" x14ac:dyDescent="0.3">
      <c r="A208" s="2">
        <v>46182</v>
      </c>
      <c r="B208" s="3">
        <v>2026</v>
      </c>
      <c r="C208" s="3" t="s">
        <v>260</v>
      </c>
      <c r="D208" s="3" t="s">
        <v>83</v>
      </c>
      <c r="E208" s="3" t="s">
        <v>291</v>
      </c>
      <c r="F208" s="3" t="s">
        <v>292</v>
      </c>
      <c r="G208" s="3" t="s">
        <v>288</v>
      </c>
      <c r="H208" s="3" t="s">
        <v>28</v>
      </c>
      <c r="I208" s="3">
        <v>20</v>
      </c>
      <c r="J208" s="3">
        <v>47.95</v>
      </c>
      <c r="K208" s="3">
        <v>653.89</v>
      </c>
      <c r="L208" s="7">
        <f t="shared" si="9"/>
        <v>959</v>
      </c>
      <c r="M208" s="7">
        <f t="shared" si="10"/>
        <v>305.11</v>
      </c>
      <c r="N208" t="str">
        <f t="shared" si="11"/>
        <v>Low</v>
      </c>
    </row>
    <row r="209" spans="1:14" x14ac:dyDescent="0.3">
      <c r="A209" s="4">
        <v>46327</v>
      </c>
      <c r="B209" s="5">
        <v>2026</v>
      </c>
      <c r="C209" s="5" t="s">
        <v>234</v>
      </c>
      <c r="D209" s="5" t="s">
        <v>299</v>
      </c>
      <c r="E209" s="5" t="s">
        <v>286</v>
      </c>
      <c r="F209" s="5" t="s">
        <v>287</v>
      </c>
      <c r="G209" s="5" t="s">
        <v>288</v>
      </c>
      <c r="H209" s="5" t="s">
        <v>16</v>
      </c>
      <c r="I209" s="5">
        <v>12</v>
      </c>
      <c r="J209" s="5">
        <v>220.09</v>
      </c>
      <c r="K209" s="5">
        <v>2096.9499999999998</v>
      </c>
      <c r="L209" s="7">
        <f t="shared" si="9"/>
        <v>2641.08</v>
      </c>
      <c r="M209" s="7">
        <f t="shared" si="10"/>
        <v>544.13000000000011</v>
      </c>
      <c r="N209" t="str">
        <f t="shared" si="11"/>
        <v>Medium</v>
      </c>
    </row>
    <row r="210" spans="1:14" x14ac:dyDescent="0.3">
      <c r="A210" s="2">
        <v>46248</v>
      </c>
      <c r="B210" s="3">
        <v>2026</v>
      </c>
      <c r="C210" s="3" t="s">
        <v>300</v>
      </c>
      <c r="D210" s="3" t="s">
        <v>301</v>
      </c>
      <c r="E210" s="3" t="s">
        <v>289</v>
      </c>
      <c r="F210" s="3" t="s">
        <v>290</v>
      </c>
      <c r="G210" s="3" t="s">
        <v>288</v>
      </c>
      <c r="H210" s="3" t="s">
        <v>39</v>
      </c>
      <c r="I210" s="3">
        <v>7</v>
      </c>
      <c r="J210" s="3">
        <v>71.67</v>
      </c>
      <c r="K210" s="3">
        <v>406.51</v>
      </c>
      <c r="L210" s="7">
        <f t="shared" si="9"/>
        <v>501.69</v>
      </c>
      <c r="M210" s="7">
        <f t="shared" si="10"/>
        <v>95.18</v>
      </c>
      <c r="N210" t="str">
        <f t="shared" si="11"/>
        <v>Low</v>
      </c>
    </row>
    <row r="211" spans="1:14" x14ac:dyDescent="0.3">
      <c r="A211" s="4">
        <v>46227</v>
      </c>
      <c r="B211" s="5">
        <v>2026</v>
      </c>
      <c r="C211" s="5" t="s">
        <v>273</v>
      </c>
      <c r="D211" s="5" t="s">
        <v>302</v>
      </c>
      <c r="E211" s="5" t="s">
        <v>291</v>
      </c>
      <c r="F211" s="5" t="s">
        <v>292</v>
      </c>
      <c r="G211" s="5" t="s">
        <v>288</v>
      </c>
      <c r="H211" s="5" t="s">
        <v>21</v>
      </c>
      <c r="I211" s="5">
        <v>15</v>
      </c>
      <c r="J211" s="5">
        <v>130.05000000000001</v>
      </c>
      <c r="K211" s="5">
        <v>1188.31</v>
      </c>
      <c r="L211" s="7">
        <f t="shared" si="9"/>
        <v>1950.7500000000002</v>
      </c>
      <c r="M211" s="7">
        <f t="shared" si="10"/>
        <v>762.44000000000028</v>
      </c>
      <c r="N211" t="str">
        <f t="shared" si="11"/>
        <v>Medium</v>
      </c>
    </row>
    <row r="212" spans="1:14" x14ac:dyDescent="0.3">
      <c r="A212" s="2">
        <v>46157</v>
      </c>
      <c r="B212" s="3">
        <v>2026</v>
      </c>
      <c r="C212" s="3" t="s">
        <v>276</v>
      </c>
      <c r="D212" s="3" t="s">
        <v>210</v>
      </c>
      <c r="E212" s="3" t="s">
        <v>294</v>
      </c>
      <c r="F212" s="3" t="s">
        <v>295</v>
      </c>
      <c r="G212" s="3" t="s">
        <v>288</v>
      </c>
      <c r="H212" s="3" t="s">
        <v>39</v>
      </c>
      <c r="I212" s="3">
        <v>3</v>
      </c>
      <c r="J212" s="3">
        <v>457.27</v>
      </c>
      <c r="K212" s="3">
        <v>894.8</v>
      </c>
      <c r="L212" s="7">
        <f t="shared" si="9"/>
        <v>1371.81</v>
      </c>
      <c r="M212" s="7">
        <f t="shared" si="10"/>
        <v>477.01</v>
      </c>
      <c r="N212" t="str">
        <f t="shared" si="11"/>
        <v>Low</v>
      </c>
    </row>
    <row r="213" spans="1:14" x14ac:dyDescent="0.3">
      <c r="A213" s="4">
        <v>46308</v>
      </c>
      <c r="B213" s="5">
        <v>2026</v>
      </c>
      <c r="C213" s="5" t="s">
        <v>303</v>
      </c>
      <c r="D213" s="5" t="s">
        <v>304</v>
      </c>
      <c r="E213" s="5" t="s">
        <v>294</v>
      </c>
      <c r="F213" s="5" t="s">
        <v>295</v>
      </c>
      <c r="G213" s="5" t="s">
        <v>288</v>
      </c>
      <c r="H213" s="5" t="s">
        <v>39</v>
      </c>
      <c r="I213" s="5">
        <v>14</v>
      </c>
      <c r="J213" s="5">
        <v>121.21</v>
      </c>
      <c r="K213" s="5">
        <v>1211.8499999999999</v>
      </c>
      <c r="L213" s="7">
        <f t="shared" si="9"/>
        <v>1696.9399999999998</v>
      </c>
      <c r="M213" s="7">
        <f t="shared" si="10"/>
        <v>485.08999999999992</v>
      </c>
      <c r="N213" t="str">
        <f t="shared" si="11"/>
        <v>Medium</v>
      </c>
    </row>
    <row r="214" spans="1:14" x14ac:dyDescent="0.3">
      <c r="A214" s="2">
        <v>46056</v>
      </c>
      <c r="B214" s="3">
        <v>2026</v>
      </c>
      <c r="C214" s="3" t="s">
        <v>206</v>
      </c>
      <c r="D214" s="3" t="s">
        <v>305</v>
      </c>
      <c r="E214" s="3" t="s">
        <v>286</v>
      </c>
      <c r="F214" s="3" t="s">
        <v>287</v>
      </c>
      <c r="G214" s="3" t="s">
        <v>288</v>
      </c>
      <c r="H214" s="3" t="s">
        <v>28</v>
      </c>
      <c r="I214" s="3">
        <v>15</v>
      </c>
      <c r="J214" s="3">
        <v>75.790000000000006</v>
      </c>
      <c r="K214" s="3">
        <v>842.76</v>
      </c>
      <c r="L214" s="7">
        <f t="shared" si="9"/>
        <v>1136.8500000000001</v>
      </c>
      <c r="M214" s="7">
        <f t="shared" si="10"/>
        <v>294.09000000000015</v>
      </c>
      <c r="N214" t="str">
        <f t="shared" si="11"/>
        <v>Low</v>
      </c>
    </row>
    <row r="215" spans="1:14" x14ac:dyDescent="0.3">
      <c r="A215" s="4">
        <v>46318</v>
      </c>
      <c r="B215" s="5">
        <v>2026</v>
      </c>
      <c r="C215" s="5" t="s">
        <v>112</v>
      </c>
      <c r="D215" s="5" t="s">
        <v>111</v>
      </c>
      <c r="E215" s="5" t="s">
        <v>289</v>
      </c>
      <c r="F215" s="5" t="s">
        <v>290</v>
      </c>
      <c r="G215" s="5" t="s">
        <v>288</v>
      </c>
      <c r="H215" s="5" t="s">
        <v>39</v>
      </c>
      <c r="I215" s="5">
        <v>12</v>
      </c>
      <c r="J215" s="5">
        <v>269.75</v>
      </c>
      <c r="K215" s="5">
        <v>1852.24</v>
      </c>
      <c r="L215" s="7">
        <f t="shared" si="9"/>
        <v>3237</v>
      </c>
      <c r="M215" s="7">
        <f t="shared" si="10"/>
        <v>1384.76</v>
      </c>
      <c r="N215" t="str">
        <f t="shared" si="11"/>
        <v>High</v>
      </c>
    </row>
    <row r="216" spans="1:14" x14ac:dyDescent="0.3">
      <c r="A216" s="2">
        <v>46075</v>
      </c>
      <c r="B216" s="3">
        <v>2026</v>
      </c>
      <c r="C216" s="3" t="s">
        <v>22</v>
      </c>
      <c r="D216" s="3" t="s">
        <v>306</v>
      </c>
      <c r="E216" s="3" t="s">
        <v>289</v>
      </c>
      <c r="F216" s="3" t="s">
        <v>290</v>
      </c>
      <c r="G216" s="3" t="s">
        <v>288</v>
      </c>
      <c r="H216" s="3" t="s">
        <v>28</v>
      </c>
      <c r="I216" s="3">
        <v>14</v>
      </c>
      <c r="J216" s="3">
        <v>121.62</v>
      </c>
      <c r="K216" s="3">
        <v>1102.17</v>
      </c>
      <c r="L216" s="7">
        <f t="shared" si="9"/>
        <v>1702.68</v>
      </c>
      <c r="M216" s="7">
        <f t="shared" si="10"/>
        <v>600.51</v>
      </c>
      <c r="N216" t="str">
        <f t="shared" si="11"/>
        <v>Medium</v>
      </c>
    </row>
    <row r="217" spans="1:14" x14ac:dyDescent="0.3">
      <c r="A217" s="4">
        <v>46240</v>
      </c>
      <c r="B217" s="5">
        <v>2026</v>
      </c>
      <c r="C217" s="5" t="s">
        <v>297</v>
      </c>
      <c r="D217" s="5" t="s">
        <v>307</v>
      </c>
      <c r="E217" s="5" t="s">
        <v>286</v>
      </c>
      <c r="F217" s="5" t="s">
        <v>287</v>
      </c>
      <c r="G217" s="5" t="s">
        <v>288</v>
      </c>
      <c r="H217" s="5" t="s">
        <v>21</v>
      </c>
      <c r="I217" s="5">
        <v>11</v>
      </c>
      <c r="J217" s="5">
        <v>35.28</v>
      </c>
      <c r="K217" s="5">
        <v>215.32</v>
      </c>
      <c r="L217" s="7">
        <f t="shared" si="9"/>
        <v>388.08000000000004</v>
      </c>
      <c r="M217" s="7">
        <f t="shared" si="10"/>
        <v>172.76000000000005</v>
      </c>
      <c r="N217" t="str">
        <f t="shared" si="11"/>
        <v>Low</v>
      </c>
    </row>
    <row r="218" spans="1:14" x14ac:dyDescent="0.3">
      <c r="A218" s="2">
        <v>46147</v>
      </c>
      <c r="B218" s="3">
        <v>2026</v>
      </c>
      <c r="C218" s="3" t="s">
        <v>89</v>
      </c>
      <c r="D218" s="3" t="s">
        <v>308</v>
      </c>
      <c r="E218" s="3" t="s">
        <v>309</v>
      </c>
      <c r="F218" s="3" t="s">
        <v>310</v>
      </c>
      <c r="G218" s="3" t="s">
        <v>311</v>
      </c>
      <c r="H218" s="3" t="s">
        <v>28</v>
      </c>
      <c r="I218" s="3">
        <v>11</v>
      </c>
      <c r="J218" s="3">
        <v>267.58</v>
      </c>
      <c r="K218" s="3">
        <v>1629.15</v>
      </c>
      <c r="L218" s="7">
        <f t="shared" si="9"/>
        <v>2943.3799999999997</v>
      </c>
      <c r="M218" s="7">
        <f t="shared" si="10"/>
        <v>1314.2299999999996</v>
      </c>
      <c r="N218" t="str">
        <f t="shared" si="11"/>
        <v>Medium</v>
      </c>
    </row>
    <row r="219" spans="1:14" x14ac:dyDescent="0.3">
      <c r="A219" s="4">
        <v>46025</v>
      </c>
      <c r="B219" s="5">
        <v>2026</v>
      </c>
      <c r="C219" s="5" t="s">
        <v>138</v>
      </c>
      <c r="D219" s="5" t="s">
        <v>312</v>
      </c>
      <c r="E219" s="5" t="s">
        <v>313</v>
      </c>
      <c r="F219" s="5" t="s">
        <v>314</v>
      </c>
      <c r="G219" s="5" t="s">
        <v>311</v>
      </c>
      <c r="H219" s="5" t="s">
        <v>21</v>
      </c>
      <c r="I219" s="5">
        <v>8</v>
      </c>
      <c r="J219" s="5">
        <v>474.76</v>
      </c>
      <c r="K219" s="5">
        <v>2502.94</v>
      </c>
      <c r="L219" s="7">
        <f t="shared" si="9"/>
        <v>3798.08</v>
      </c>
      <c r="M219" s="7">
        <f t="shared" si="10"/>
        <v>1295.1399999999999</v>
      </c>
      <c r="N219" t="str">
        <f t="shared" si="11"/>
        <v>High</v>
      </c>
    </row>
    <row r="220" spans="1:14" x14ac:dyDescent="0.3">
      <c r="A220" s="2">
        <v>46084</v>
      </c>
      <c r="B220" s="3">
        <v>2026</v>
      </c>
      <c r="C220" s="3" t="s">
        <v>279</v>
      </c>
      <c r="D220" s="3" t="s">
        <v>315</v>
      </c>
      <c r="E220" s="3" t="s">
        <v>313</v>
      </c>
      <c r="F220" s="3" t="s">
        <v>314</v>
      </c>
      <c r="G220" s="3" t="s">
        <v>311</v>
      </c>
      <c r="H220" s="3" t="s">
        <v>39</v>
      </c>
      <c r="I220" s="3">
        <v>11</v>
      </c>
      <c r="J220" s="3">
        <v>306.95</v>
      </c>
      <c r="K220" s="3">
        <v>2861.4</v>
      </c>
      <c r="L220" s="7">
        <f t="shared" si="9"/>
        <v>3376.45</v>
      </c>
      <c r="M220" s="7">
        <f t="shared" si="10"/>
        <v>515.04999999999973</v>
      </c>
      <c r="N220" t="str">
        <f t="shared" si="11"/>
        <v>High</v>
      </c>
    </row>
    <row r="221" spans="1:14" x14ac:dyDescent="0.3">
      <c r="A221" s="4">
        <v>46218</v>
      </c>
      <c r="B221" s="5">
        <v>2026</v>
      </c>
      <c r="C221" s="5" t="s">
        <v>234</v>
      </c>
      <c r="D221" s="5" t="s">
        <v>301</v>
      </c>
      <c r="E221" s="5" t="s">
        <v>316</v>
      </c>
      <c r="F221" s="5" t="s">
        <v>317</v>
      </c>
      <c r="G221" s="5" t="s">
        <v>311</v>
      </c>
      <c r="H221" s="5" t="s">
        <v>16</v>
      </c>
      <c r="I221" s="5">
        <v>10</v>
      </c>
      <c r="J221" s="5">
        <v>428.74</v>
      </c>
      <c r="K221" s="5">
        <v>3643.64</v>
      </c>
      <c r="L221" s="7">
        <f t="shared" si="9"/>
        <v>4287.3999999999996</v>
      </c>
      <c r="M221" s="7">
        <f t="shared" si="10"/>
        <v>643.75999999999976</v>
      </c>
      <c r="N221" t="str">
        <f t="shared" si="11"/>
        <v>High</v>
      </c>
    </row>
    <row r="222" spans="1:14" x14ac:dyDescent="0.3">
      <c r="A222" s="2">
        <v>46198</v>
      </c>
      <c r="B222" s="3">
        <v>2026</v>
      </c>
      <c r="C222" s="3" t="s">
        <v>143</v>
      </c>
      <c r="D222" s="3" t="s">
        <v>318</v>
      </c>
      <c r="E222" s="3" t="s">
        <v>319</v>
      </c>
      <c r="F222" s="3" t="s">
        <v>320</v>
      </c>
      <c r="G222" s="3" t="s">
        <v>311</v>
      </c>
      <c r="H222" s="3" t="s">
        <v>39</v>
      </c>
      <c r="I222" s="3">
        <v>9</v>
      </c>
      <c r="J222" s="3">
        <v>299.01</v>
      </c>
      <c r="K222" s="3">
        <v>1921.6</v>
      </c>
      <c r="L222" s="7">
        <f t="shared" si="9"/>
        <v>2691.09</v>
      </c>
      <c r="M222" s="7">
        <f t="shared" si="10"/>
        <v>769.49000000000024</v>
      </c>
      <c r="N222" t="str">
        <f t="shared" si="11"/>
        <v>Medium</v>
      </c>
    </row>
    <row r="223" spans="1:14" x14ac:dyDescent="0.3">
      <c r="A223" s="4">
        <v>46316</v>
      </c>
      <c r="B223" s="5">
        <v>2026</v>
      </c>
      <c r="C223" s="5" t="s">
        <v>148</v>
      </c>
      <c r="D223" s="5" t="s">
        <v>172</v>
      </c>
      <c r="E223" s="5" t="s">
        <v>321</v>
      </c>
      <c r="F223" s="5" t="s">
        <v>322</v>
      </c>
      <c r="G223" s="5" t="s">
        <v>311</v>
      </c>
      <c r="H223" s="5" t="s">
        <v>21</v>
      </c>
      <c r="I223" s="5">
        <v>5</v>
      </c>
      <c r="J223" s="5">
        <v>313.41000000000003</v>
      </c>
      <c r="K223" s="5">
        <v>956.31</v>
      </c>
      <c r="L223" s="7">
        <f t="shared" si="9"/>
        <v>1567.0500000000002</v>
      </c>
      <c r="M223" s="7">
        <f t="shared" si="10"/>
        <v>610.74000000000024</v>
      </c>
      <c r="N223" t="str">
        <f t="shared" si="11"/>
        <v>Medium</v>
      </c>
    </row>
    <row r="224" spans="1:14" x14ac:dyDescent="0.3">
      <c r="A224" s="2">
        <v>46058</v>
      </c>
      <c r="B224" s="3">
        <v>2026</v>
      </c>
      <c r="C224" s="3" t="s">
        <v>33</v>
      </c>
      <c r="D224" s="3" t="s">
        <v>73</v>
      </c>
      <c r="E224" s="3" t="s">
        <v>323</v>
      </c>
      <c r="F224" s="3" t="s">
        <v>324</v>
      </c>
      <c r="G224" s="3" t="s">
        <v>311</v>
      </c>
      <c r="H224" s="3" t="s">
        <v>21</v>
      </c>
      <c r="I224" s="3">
        <v>5</v>
      </c>
      <c r="J224" s="3">
        <v>267.2</v>
      </c>
      <c r="K224" s="3">
        <v>807.44</v>
      </c>
      <c r="L224" s="7">
        <f t="shared" si="9"/>
        <v>1336</v>
      </c>
      <c r="M224" s="7">
        <f t="shared" si="10"/>
        <v>528.55999999999995</v>
      </c>
      <c r="N224" t="str">
        <f t="shared" si="11"/>
        <v>Low</v>
      </c>
    </row>
    <row r="225" spans="1:14" x14ac:dyDescent="0.3">
      <c r="A225" s="4">
        <v>46334</v>
      </c>
      <c r="B225" s="5">
        <v>2026</v>
      </c>
      <c r="C225" s="5" t="s">
        <v>300</v>
      </c>
      <c r="D225" s="5" t="s">
        <v>210</v>
      </c>
      <c r="E225" s="5" t="s">
        <v>316</v>
      </c>
      <c r="F225" s="5" t="s">
        <v>317</v>
      </c>
      <c r="G225" s="5" t="s">
        <v>311</v>
      </c>
      <c r="H225" s="5" t="s">
        <v>39</v>
      </c>
      <c r="I225" s="5">
        <v>11</v>
      </c>
      <c r="J225" s="5">
        <v>258.91000000000003</v>
      </c>
      <c r="K225" s="5">
        <v>1655.69</v>
      </c>
      <c r="L225" s="7">
        <f t="shared" si="9"/>
        <v>2848.01</v>
      </c>
      <c r="M225" s="7">
        <f t="shared" si="10"/>
        <v>1192.3200000000002</v>
      </c>
      <c r="N225" t="str">
        <f t="shared" si="11"/>
        <v>Medium</v>
      </c>
    </row>
    <row r="226" spans="1:14" x14ac:dyDescent="0.3">
      <c r="A226" s="2">
        <v>46217</v>
      </c>
      <c r="B226" s="3">
        <v>2026</v>
      </c>
      <c r="C226" s="3" t="s">
        <v>325</v>
      </c>
      <c r="D226" s="3" t="s">
        <v>46</v>
      </c>
      <c r="E226" s="3" t="s">
        <v>321</v>
      </c>
      <c r="F226" s="3" t="s">
        <v>322</v>
      </c>
      <c r="G226" s="3" t="s">
        <v>311</v>
      </c>
      <c r="H226" s="3" t="s">
        <v>39</v>
      </c>
      <c r="I226" s="3">
        <v>14</v>
      </c>
      <c r="J226" s="3">
        <v>333.08</v>
      </c>
      <c r="K226" s="3">
        <v>3518.84</v>
      </c>
      <c r="L226" s="7">
        <f t="shared" si="9"/>
        <v>4663.12</v>
      </c>
      <c r="M226" s="7">
        <f t="shared" si="10"/>
        <v>1144.2799999999997</v>
      </c>
      <c r="N226" t="str">
        <f t="shared" si="11"/>
        <v>High</v>
      </c>
    </row>
    <row r="227" spans="1:14" x14ac:dyDescent="0.3">
      <c r="A227" s="4">
        <v>46377</v>
      </c>
      <c r="B227" s="5">
        <v>2026</v>
      </c>
      <c r="C227" s="5" t="s">
        <v>22</v>
      </c>
      <c r="D227" s="5" t="s">
        <v>326</v>
      </c>
      <c r="E227" s="5" t="s">
        <v>316</v>
      </c>
      <c r="F227" s="5" t="s">
        <v>317</v>
      </c>
      <c r="G227" s="5" t="s">
        <v>311</v>
      </c>
      <c r="H227" s="5" t="s">
        <v>16</v>
      </c>
      <c r="I227" s="5">
        <v>1</v>
      </c>
      <c r="J227" s="5">
        <v>128.09</v>
      </c>
      <c r="K227" s="5">
        <v>79.77</v>
      </c>
      <c r="L227" s="7">
        <f t="shared" si="9"/>
        <v>128.09</v>
      </c>
      <c r="M227" s="7">
        <f t="shared" si="10"/>
        <v>48.320000000000007</v>
      </c>
      <c r="N227" t="str">
        <f t="shared" si="11"/>
        <v>Low</v>
      </c>
    </row>
    <row r="228" spans="1:14" x14ac:dyDescent="0.3">
      <c r="A228" s="2">
        <v>46360</v>
      </c>
      <c r="B228" s="3">
        <v>2026</v>
      </c>
      <c r="C228" s="3" t="s">
        <v>68</v>
      </c>
      <c r="D228" s="3" t="s">
        <v>160</v>
      </c>
      <c r="E228" s="3" t="s">
        <v>319</v>
      </c>
      <c r="F228" s="3" t="s">
        <v>320</v>
      </c>
      <c r="G228" s="3" t="s">
        <v>311</v>
      </c>
      <c r="H228" s="3" t="s">
        <v>28</v>
      </c>
      <c r="I228" s="3">
        <v>20</v>
      </c>
      <c r="J228" s="3">
        <v>69.680000000000007</v>
      </c>
      <c r="K228" s="3">
        <v>769.57</v>
      </c>
      <c r="L228" s="7">
        <f t="shared" si="9"/>
        <v>1393.6000000000001</v>
      </c>
      <c r="M228" s="7">
        <f t="shared" si="10"/>
        <v>624.03000000000009</v>
      </c>
      <c r="N228" t="str">
        <f t="shared" si="11"/>
        <v>Low</v>
      </c>
    </row>
    <row r="229" spans="1:14" x14ac:dyDescent="0.3">
      <c r="A229" s="4">
        <v>46141</v>
      </c>
      <c r="B229" s="5">
        <v>2026</v>
      </c>
      <c r="C229" s="5" t="s">
        <v>44</v>
      </c>
      <c r="D229" s="5" t="s">
        <v>107</v>
      </c>
      <c r="E229" s="5" t="s">
        <v>327</v>
      </c>
      <c r="F229" s="5" t="s">
        <v>328</v>
      </c>
      <c r="G229" s="5" t="s">
        <v>311</v>
      </c>
      <c r="H229" s="5" t="s">
        <v>21</v>
      </c>
      <c r="I229" s="5">
        <v>1</v>
      </c>
      <c r="J229" s="5">
        <v>72.3</v>
      </c>
      <c r="K229" s="5">
        <v>51.57</v>
      </c>
      <c r="L229" s="7">
        <f t="shared" si="9"/>
        <v>72.3</v>
      </c>
      <c r="M229" s="7">
        <f t="shared" si="10"/>
        <v>20.729999999999997</v>
      </c>
      <c r="N229" t="str">
        <f t="shared" si="11"/>
        <v>Low</v>
      </c>
    </row>
    <row r="230" spans="1:14" x14ac:dyDescent="0.3">
      <c r="A230" s="2">
        <v>46116</v>
      </c>
      <c r="B230" s="3">
        <v>2026</v>
      </c>
      <c r="C230" s="3" t="s">
        <v>329</v>
      </c>
      <c r="D230" s="3" t="s">
        <v>301</v>
      </c>
      <c r="E230" s="3" t="s">
        <v>327</v>
      </c>
      <c r="F230" s="3" t="s">
        <v>328</v>
      </c>
      <c r="G230" s="3" t="s">
        <v>311</v>
      </c>
      <c r="H230" s="3" t="s">
        <v>28</v>
      </c>
      <c r="I230" s="3">
        <v>20</v>
      </c>
      <c r="J230" s="3">
        <v>206.76</v>
      </c>
      <c r="K230" s="3">
        <v>2942.81</v>
      </c>
      <c r="L230" s="7">
        <f t="shared" si="9"/>
        <v>4135.2</v>
      </c>
      <c r="M230" s="7">
        <f t="shared" si="10"/>
        <v>1192.3899999999999</v>
      </c>
      <c r="N230" t="str">
        <f t="shared" si="11"/>
        <v>High</v>
      </c>
    </row>
    <row r="231" spans="1:14" x14ac:dyDescent="0.3">
      <c r="A231" s="4">
        <v>46180</v>
      </c>
      <c r="B231" s="5">
        <v>2026</v>
      </c>
      <c r="C231" s="5" t="s">
        <v>234</v>
      </c>
      <c r="D231" s="5" t="s">
        <v>232</v>
      </c>
      <c r="E231" s="5" t="s">
        <v>319</v>
      </c>
      <c r="F231" s="5" t="s">
        <v>320</v>
      </c>
      <c r="G231" s="5" t="s">
        <v>311</v>
      </c>
      <c r="H231" s="5" t="s">
        <v>21</v>
      </c>
      <c r="I231" s="5">
        <v>3</v>
      </c>
      <c r="J231" s="5">
        <v>453.53</v>
      </c>
      <c r="K231" s="5">
        <v>1103.23</v>
      </c>
      <c r="L231" s="7">
        <f t="shared" si="9"/>
        <v>1360.59</v>
      </c>
      <c r="M231" s="7">
        <f t="shared" si="10"/>
        <v>257.3599999999999</v>
      </c>
      <c r="N231" t="str">
        <f t="shared" si="11"/>
        <v>Low</v>
      </c>
    </row>
    <row r="232" spans="1:14" x14ac:dyDescent="0.3">
      <c r="A232" s="2">
        <v>46053</v>
      </c>
      <c r="B232" s="3">
        <v>2026</v>
      </c>
      <c r="C232" s="3" t="s">
        <v>161</v>
      </c>
      <c r="D232" s="3" t="s">
        <v>23</v>
      </c>
      <c r="E232" s="3" t="s">
        <v>316</v>
      </c>
      <c r="F232" s="3" t="s">
        <v>317</v>
      </c>
      <c r="G232" s="3" t="s">
        <v>311</v>
      </c>
      <c r="H232" s="3" t="s">
        <v>16</v>
      </c>
      <c r="I232" s="3">
        <v>14</v>
      </c>
      <c r="J232" s="3">
        <v>68.94</v>
      </c>
      <c r="K232" s="3">
        <v>513.74</v>
      </c>
      <c r="L232" s="7">
        <f t="shared" si="9"/>
        <v>965.16</v>
      </c>
      <c r="M232" s="7">
        <f t="shared" si="10"/>
        <v>451.41999999999996</v>
      </c>
      <c r="N232" t="str">
        <f t="shared" si="11"/>
        <v>Low</v>
      </c>
    </row>
    <row r="233" spans="1:14" x14ac:dyDescent="0.3">
      <c r="A233" s="4">
        <v>46288</v>
      </c>
      <c r="B233" s="5">
        <v>2026</v>
      </c>
      <c r="C233" s="5" t="s">
        <v>44</v>
      </c>
      <c r="D233" s="5" t="s">
        <v>179</v>
      </c>
      <c r="E233" s="5" t="s">
        <v>323</v>
      </c>
      <c r="F233" s="5" t="s">
        <v>324</v>
      </c>
      <c r="G233" s="5" t="s">
        <v>311</v>
      </c>
      <c r="H233" s="5" t="s">
        <v>16</v>
      </c>
      <c r="I233" s="5">
        <v>12</v>
      </c>
      <c r="J233" s="5">
        <v>131.26</v>
      </c>
      <c r="K233" s="5">
        <v>1100.57</v>
      </c>
      <c r="L233" s="7">
        <f t="shared" si="9"/>
        <v>1575.12</v>
      </c>
      <c r="M233" s="7">
        <f t="shared" si="10"/>
        <v>474.54999999999995</v>
      </c>
      <c r="N233" t="str">
        <f t="shared" si="11"/>
        <v>Medium</v>
      </c>
    </row>
    <row r="234" spans="1:14" x14ac:dyDescent="0.3">
      <c r="A234" s="2">
        <v>46094</v>
      </c>
      <c r="B234" s="3">
        <v>2026</v>
      </c>
      <c r="C234" s="3" t="s">
        <v>230</v>
      </c>
      <c r="D234" s="3" t="s">
        <v>330</v>
      </c>
      <c r="E234" s="3" t="s">
        <v>316</v>
      </c>
      <c r="F234" s="3" t="s">
        <v>317</v>
      </c>
      <c r="G234" s="3" t="s">
        <v>311</v>
      </c>
      <c r="H234" s="3" t="s">
        <v>28</v>
      </c>
      <c r="I234" s="3">
        <v>1</v>
      </c>
      <c r="J234" s="3">
        <v>212.91</v>
      </c>
      <c r="K234" s="3">
        <v>158.49</v>
      </c>
      <c r="L234" s="7">
        <f t="shared" si="9"/>
        <v>212.91</v>
      </c>
      <c r="M234" s="7">
        <f t="shared" si="10"/>
        <v>54.419999999999987</v>
      </c>
      <c r="N234" t="str">
        <f t="shared" si="11"/>
        <v>Low</v>
      </c>
    </row>
    <row r="235" spans="1:14" x14ac:dyDescent="0.3">
      <c r="A235" s="4">
        <v>46190</v>
      </c>
      <c r="B235" s="5">
        <v>2026</v>
      </c>
      <c r="C235" s="5" t="s">
        <v>331</v>
      </c>
      <c r="D235" s="5" t="s">
        <v>184</v>
      </c>
      <c r="E235" s="5" t="s">
        <v>327</v>
      </c>
      <c r="F235" s="5" t="s">
        <v>328</v>
      </c>
      <c r="G235" s="5" t="s">
        <v>311</v>
      </c>
      <c r="H235" s="5" t="s">
        <v>39</v>
      </c>
      <c r="I235" s="5">
        <v>20</v>
      </c>
      <c r="J235" s="5">
        <v>224.62</v>
      </c>
      <c r="K235" s="5">
        <v>3527.09</v>
      </c>
      <c r="L235" s="7">
        <f t="shared" si="9"/>
        <v>4492.3999999999996</v>
      </c>
      <c r="M235" s="7">
        <f t="shared" si="10"/>
        <v>965.30999999999949</v>
      </c>
      <c r="N235" t="str">
        <f t="shared" si="11"/>
        <v>High</v>
      </c>
    </row>
    <row r="236" spans="1:14" x14ac:dyDescent="0.3">
      <c r="A236" s="2">
        <v>46222</v>
      </c>
      <c r="B236" s="3">
        <v>2026</v>
      </c>
      <c r="C236" s="3" t="s">
        <v>150</v>
      </c>
      <c r="D236" s="3" t="s">
        <v>332</v>
      </c>
      <c r="E236" s="3" t="s">
        <v>313</v>
      </c>
      <c r="F236" s="3" t="s">
        <v>314</v>
      </c>
      <c r="G236" s="3" t="s">
        <v>311</v>
      </c>
      <c r="H236" s="3" t="s">
        <v>16</v>
      </c>
      <c r="I236" s="3">
        <v>4</v>
      </c>
      <c r="J236" s="3">
        <v>77.87</v>
      </c>
      <c r="K236" s="3">
        <v>259.26</v>
      </c>
      <c r="L236" s="7">
        <f t="shared" si="9"/>
        <v>311.48</v>
      </c>
      <c r="M236" s="7">
        <f t="shared" si="10"/>
        <v>52.220000000000027</v>
      </c>
      <c r="N236" t="str">
        <f t="shared" si="11"/>
        <v>Low</v>
      </c>
    </row>
    <row r="237" spans="1:14" x14ac:dyDescent="0.3">
      <c r="A237" s="4">
        <v>46115</v>
      </c>
      <c r="B237" s="5">
        <v>2026</v>
      </c>
      <c r="C237" s="5" t="s">
        <v>132</v>
      </c>
      <c r="D237" s="5" t="s">
        <v>184</v>
      </c>
      <c r="E237" s="5" t="s">
        <v>321</v>
      </c>
      <c r="F237" s="5" t="s">
        <v>322</v>
      </c>
      <c r="G237" s="5" t="s">
        <v>311</v>
      </c>
      <c r="H237" s="5" t="s">
        <v>39</v>
      </c>
      <c r="I237" s="5">
        <v>6</v>
      </c>
      <c r="J237" s="5">
        <v>192.45</v>
      </c>
      <c r="K237" s="5">
        <v>888.68</v>
      </c>
      <c r="L237" s="7">
        <f t="shared" si="9"/>
        <v>1154.6999999999998</v>
      </c>
      <c r="M237" s="7">
        <f t="shared" si="10"/>
        <v>266.01999999999987</v>
      </c>
      <c r="N237" t="str">
        <f t="shared" si="11"/>
        <v>Low</v>
      </c>
    </row>
    <row r="238" spans="1:14" x14ac:dyDescent="0.3">
      <c r="A238" s="2">
        <v>46291</v>
      </c>
      <c r="B238" s="3">
        <v>2026</v>
      </c>
      <c r="C238" s="3" t="s">
        <v>89</v>
      </c>
      <c r="D238" s="3" t="s">
        <v>333</v>
      </c>
      <c r="E238" s="3" t="s">
        <v>323</v>
      </c>
      <c r="F238" s="3" t="s">
        <v>324</v>
      </c>
      <c r="G238" s="3" t="s">
        <v>311</v>
      </c>
      <c r="H238" s="3" t="s">
        <v>28</v>
      </c>
      <c r="I238" s="3">
        <v>10</v>
      </c>
      <c r="J238" s="3">
        <v>258.76</v>
      </c>
      <c r="K238" s="3">
        <v>2005</v>
      </c>
      <c r="L238" s="7">
        <f t="shared" si="9"/>
        <v>2587.6</v>
      </c>
      <c r="M238" s="7">
        <f t="shared" si="10"/>
        <v>582.59999999999991</v>
      </c>
      <c r="N238" t="str">
        <f t="shared" si="11"/>
        <v>Medium</v>
      </c>
    </row>
    <row r="239" spans="1:14" x14ac:dyDescent="0.3">
      <c r="A239" s="4">
        <v>46117</v>
      </c>
      <c r="B239" s="5">
        <v>2026</v>
      </c>
      <c r="C239" s="5" t="s">
        <v>112</v>
      </c>
      <c r="D239" s="5" t="s">
        <v>149</v>
      </c>
      <c r="E239" s="5" t="s">
        <v>323</v>
      </c>
      <c r="F239" s="5" t="s">
        <v>324</v>
      </c>
      <c r="G239" s="5" t="s">
        <v>311</v>
      </c>
      <c r="H239" s="5" t="s">
        <v>39</v>
      </c>
      <c r="I239" s="5">
        <v>8</v>
      </c>
      <c r="J239" s="5">
        <v>282.26</v>
      </c>
      <c r="K239" s="5">
        <v>1532.64</v>
      </c>
      <c r="L239" s="7">
        <f t="shared" si="9"/>
        <v>2258.08</v>
      </c>
      <c r="M239" s="7">
        <f t="shared" si="10"/>
        <v>725.43999999999983</v>
      </c>
      <c r="N239" t="str">
        <f t="shared" si="11"/>
        <v>Medium</v>
      </c>
    </row>
    <row r="240" spans="1:14" x14ac:dyDescent="0.3">
      <c r="A240" s="2">
        <v>46339</v>
      </c>
      <c r="B240" s="3">
        <v>2026</v>
      </c>
      <c r="C240" s="3" t="s">
        <v>76</v>
      </c>
      <c r="D240" s="3" t="s">
        <v>334</v>
      </c>
      <c r="E240" s="3" t="s">
        <v>319</v>
      </c>
      <c r="F240" s="3" t="s">
        <v>320</v>
      </c>
      <c r="G240" s="3" t="s">
        <v>311</v>
      </c>
      <c r="H240" s="3" t="s">
        <v>16</v>
      </c>
      <c r="I240" s="3">
        <v>2</v>
      </c>
      <c r="J240" s="3">
        <v>235.7</v>
      </c>
      <c r="K240" s="3">
        <v>266.69</v>
      </c>
      <c r="L240" s="7">
        <f t="shared" si="9"/>
        <v>471.4</v>
      </c>
      <c r="M240" s="7">
        <f t="shared" si="10"/>
        <v>204.70999999999998</v>
      </c>
      <c r="N240" t="str">
        <f t="shared" si="11"/>
        <v>Low</v>
      </c>
    </row>
    <row r="241" spans="1:14" x14ac:dyDescent="0.3">
      <c r="A241" s="4">
        <v>46246</v>
      </c>
      <c r="B241" s="5">
        <v>2026</v>
      </c>
      <c r="C241" s="5" t="s">
        <v>335</v>
      </c>
      <c r="D241" s="5" t="s">
        <v>67</v>
      </c>
      <c r="E241" s="5" t="s">
        <v>321</v>
      </c>
      <c r="F241" s="5" t="s">
        <v>322</v>
      </c>
      <c r="G241" s="5" t="s">
        <v>311</v>
      </c>
      <c r="H241" s="5" t="s">
        <v>16</v>
      </c>
      <c r="I241" s="5">
        <v>13</v>
      </c>
      <c r="J241" s="5">
        <v>312.35000000000002</v>
      </c>
      <c r="K241" s="5">
        <v>2970.31</v>
      </c>
      <c r="L241" s="7">
        <f t="shared" si="9"/>
        <v>4060.55</v>
      </c>
      <c r="M241" s="7">
        <f t="shared" si="10"/>
        <v>1090.2400000000002</v>
      </c>
      <c r="N241" t="str">
        <f t="shared" si="11"/>
        <v>High</v>
      </c>
    </row>
    <row r="242" spans="1:14" x14ac:dyDescent="0.3">
      <c r="A242" s="2">
        <v>46122</v>
      </c>
      <c r="B242" s="3">
        <v>2026</v>
      </c>
      <c r="C242" s="3" t="s">
        <v>71</v>
      </c>
      <c r="D242" s="3" t="s">
        <v>180</v>
      </c>
      <c r="E242" s="3" t="s">
        <v>313</v>
      </c>
      <c r="F242" s="3" t="s">
        <v>314</v>
      </c>
      <c r="G242" s="3" t="s">
        <v>311</v>
      </c>
      <c r="H242" s="3" t="s">
        <v>28</v>
      </c>
      <c r="I242" s="3">
        <v>9</v>
      </c>
      <c r="J242" s="3">
        <v>323.55</v>
      </c>
      <c r="K242" s="3">
        <v>2308.98</v>
      </c>
      <c r="L242" s="7">
        <f t="shared" si="9"/>
        <v>2911.9500000000003</v>
      </c>
      <c r="M242" s="7">
        <f t="shared" si="10"/>
        <v>602.97000000000025</v>
      </c>
      <c r="N242" t="str">
        <f t="shared" si="11"/>
        <v>Medium</v>
      </c>
    </row>
    <row r="243" spans="1:14" x14ac:dyDescent="0.3">
      <c r="A243" s="4">
        <v>46053</v>
      </c>
      <c r="B243" s="5">
        <v>2026</v>
      </c>
      <c r="C243" s="5" t="s">
        <v>94</v>
      </c>
      <c r="D243" s="5" t="s">
        <v>200</v>
      </c>
      <c r="E243" s="5" t="s">
        <v>309</v>
      </c>
      <c r="F243" s="5" t="s">
        <v>310</v>
      </c>
      <c r="G243" s="5" t="s">
        <v>311</v>
      </c>
      <c r="H243" s="5" t="s">
        <v>28</v>
      </c>
      <c r="I243" s="5">
        <v>18</v>
      </c>
      <c r="J243" s="5">
        <v>59.18</v>
      </c>
      <c r="K243" s="5">
        <v>593.72</v>
      </c>
      <c r="L243" s="7">
        <f t="shared" si="9"/>
        <v>1065.24</v>
      </c>
      <c r="M243" s="7">
        <f t="shared" si="10"/>
        <v>471.52</v>
      </c>
      <c r="N243" t="str">
        <f t="shared" si="11"/>
        <v>Low</v>
      </c>
    </row>
    <row r="244" spans="1:14" x14ac:dyDescent="0.3">
      <c r="A244" s="2">
        <v>46387</v>
      </c>
      <c r="B244" s="3">
        <v>2026</v>
      </c>
      <c r="C244" s="3" t="s">
        <v>110</v>
      </c>
      <c r="D244" s="3" t="s">
        <v>77</v>
      </c>
      <c r="E244" s="3" t="s">
        <v>316</v>
      </c>
      <c r="F244" s="3" t="s">
        <v>317</v>
      </c>
      <c r="G244" s="3" t="s">
        <v>311</v>
      </c>
      <c r="H244" s="3" t="s">
        <v>21</v>
      </c>
      <c r="I244" s="3">
        <v>15</v>
      </c>
      <c r="J244" s="3">
        <v>67.77</v>
      </c>
      <c r="K244" s="3">
        <v>594.92999999999995</v>
      </c>
      <c r="L244" s="7">
        <f t="shared" si="9"/>
        <v>1016.55</v>
      </c>
      <c r="M244" s="7">
        <f t="shared" si="10"/>
        <v>421.62</v>
      </c>
      <c r="N244" t="str">
        <f t="shared" si="11"/>
        <v>Low</v>
      </c>
    </row>
    <row r="245" spans="1:14" x14ac:dyDescent="0.3">
      <c r="A245" s="4">
        <v>46334</v>
      </c>
      <c r="B245" s="5">
        <v>2026</v>
      </c>
      <c r="C245" s="5" t="s">
        <v>89</v>
      </c>
      <c r="D245" s="5" t="s">
        <v>336</v>
      </c>
      <c r="E245" s="5" t="s">
        <v>313</v>
      </c>
      <c r="F245" s="5" t="s">
        <v>314</v>
      </c>
      <c r="G245" s="5" t="s">
        <v>311</v>
      </c>
      <c r="H245" s="5" t="s">
        <v>16</v>
      </c>
      <c r="I245" s="5">
        <v>10</v>
      </c>
      <c r="J245" s="5">
        <v>378.36</v>
      </c>
      <c r="K245" s="5">
        <v>2381.84</v>
      </c>
      <c r="L245" s="7">
        <f t="shared" si="9"/>
        <v>3783.6000000000004</v>
      </c>
      <c r="M245" s="7">
        <f t="shared" si="10"/>
        <v>1401.7600000000002</v>
      </c>
      <c r="N245" t="str">
        <f t="shared" si="11"/>
        <v>High</v>
      </c>
    </row>
    <row r="246" spans="1:14" x14ac:dyDescent="0.3">
      <c r="A246" s="2">
        <v>46081</v>
      </c>
      <c r="B246" s="3">
        <v>2026</v>
      </c>
      <c r="C246" s="3" t="s">
        <v>183</v>
      </c>
      <c r="D246" s="3" t="s">
        <v>99</v>
      </c>
      <c r="E246" s="3" t="s">
        <v>316</v>
      </c>
      <c r="F246" s="3" t="s">
        <v>317</v>
      </c>
      <c r="G246" s="3" t="s">
        <v>311</v>
      </c>
      <c r="H246" s="3" t="s">
        <v>21</v>
      </c>
      <c r="I246" s="3">
        <v>9</v>
      </c>
      <c r="J246" s="3">
        <v>366.05</v>
      </c>
      <c r="K246" s="3">
        <v>2168.4</v>
      </c>
      <c r="L246" s="7">
        <f t="shared" si="9"/>
        <v>3294.4500000000003</v>
      </c>
      <c r="M246" s="7">
        <f t="shared" si="10"/>
        <v>1126.0500000000002</v>
      </c>
      <c r="N246" t="str">
        <f t="shared" si="11"/>
        <v>High</v>
      </c>
    </row>
    <row r="247" spans="1:14" x14ac:dyDescent="0.3">
      <c r="A247" s="4">
        <v>46286</v>
      </c>
      <c r="B247" s="5">
        <v>2026</v>
      </c>
      <c r="C247" s="5" t="s">
        <v>297</v>
      </c>
      <c r="D247" s="5" t="s">
        <v>337</v>
      </c>
      <c r="E247" s="5" t="s">
        <v>338</v>
      </c>
      <c r="F247" s="5" t="s">
        <v>339</v>
      </c>
      <c r="G247" s="5" t="s">
        <v>311</v>
      </c>
      <c r="H247" s="5" t="s">
        <v>28</v>
      </c>
      <c r="I247" s="5">
        <v>13</v>
      </c>
      <c r="J247" s="5">
        <v>241.26</v>
      </c>
      <c r="K247" s="5">
        <v>2450.42</v>
      </c>
      <c r="L247" s="7">
        <f t="shared" si="9"/>
        <v>3136.38</v>
      </c>
      <c r="M247" s="7">
        <f t="shared" si="10"/>
        <v>685.96</v>
      </c>
      <c r="N247" t="str">
        <f t="shared" si="11"/>
        <v>High</v>
      </c>
    </row>
    <row r="248" spans="1:14" x14ac:dyDescent="0.3">
      <c r="A248" s="2">
        <v>46253</v>
      </c>
      <c r="B248" s="3">
        <v>2026</v>
      </c>
      <c r="C248" s="3" t="s">
        <v>169</v>
      </c>
      <c r="D248" s="3" t="s">
        <v>222</v>
      </c>
      <c r="E248" s="3" t="s">
        <v>313</v>
      </c>
      <c r="F248" s="3" t="s">
        <v>314</v>
      </c>
      <c r="G248" s="3" t="s">
        <v>311</v>
      </c>
      <c r="H248" s="3" t="s">
        <v>28</v>
      </c>
      <c r="I248" s="3">
        <v>4</v>
      </c>
      <c r="J248" s="3">
        <v>289.60000000000002</v>
      </c>
      <c r="K248" s="3">
        <v>694.47</v>
      </c>
      <c r="L248" s="7">
        <f t="shared" si="9"/>
        <v>1158.4000000000001</v>
      </c>
      <c r="M248" s="7">
        <f t="shared" si="10"/>
        <v>463.93000000000006</v>
      </c>
      <c r="N248" t="str">
        <f t="shared" si="11"/>
        <v>Low</v>
      </c>
    </row>
    <row r="249" spans="1:14" x14ac:dyDescent="0.3">
      <c r="A249" s="4">
        <v>46126</v>
      </c>
      <c r="B249" s="5">
        <v>2026</v>
      </c>
      <c r="C249" s="5" t="s">
        <v>115</v>
      </c>
      <c r="D249" s="5" t="s">
        <v>340</v>
      </c>
      <c r="E249" s="5" t="s">
        <v>327</v>
      </c>
      <c r="F249" s="5" t="s">
        <v>328</v>
      </c>
      <c r="G249" s="5" t="s">
        <v>311</v>
      </c>
      <c r="H249" s="5" t="s">
        <v>16</v>
      </c>
      <c r="I249" s="5">
        <v>12</v>
      </c>
      <c r="J249" s="5">
        <v>249.41</v>
      </c>
      <c r="K249" s="5">
        <v>1882.08</v>
      </c>
      <c r="L249" s="7">
        <f t="shared" si="9"/>
        <v>2992.92</v>
      </c>
      <c r="M249" s="7">
        <f t="shared" si="10"/>
        <v>1110.8400000000001</v>
      </c>
      <c r="N249" t="str">
        <f t="shared" si="11"/>
        <v>Medium</v>
      </c>
    </row>
    <row r="250" spans="1:14" x14ac:dyDescent="0.3">
      <c r="A250" s="2">
        <v>46341</v>
      </c>
      <c r="B250" s="3">
        <v>2026</v>
      </c>
      <c r="C250" s="3" t="s">
        <v>223</v>
      </c>
      <c r="D250" s="3" t="s">
        <v>90</v>
      </c>
      <c r="E250" s="3" t="s">
        <v>338</v>
      </c>
      <c r="F250" s="3" t="s">
        <v>339</v>
      </c>
      <c r="G250" s="3" t="s">
        <v>311</v>
      </c>
      <c r="H250" s="3" t="s">
        <v>21</v>
      </c>
      <c r="I250" s="3">
        <v>7</v>
      </c>
      <c r="J250" s="3">
        <v>122.15</v>
      </c>
      <c r="K250" s="3">
        <v>589.66999999999996</v>
      </c>
      <c r="L250" s="7">
        <f t="shared" si="9"/>
        <v>855.05000000000007</v>
      </c>
      <c r="M250" s="7">
        <f t="shared" si="10"/>
        <v>265.38000000000011</v>
      </c>
      <c r="N250" t="str">
        <f t="shared" si="11"/>
        <v>Low</v>
      </c>
    </row>
    <row r="251" spans="1:14" x14ac:dyDescent="0.3">
      <c r="A251" s="4">
        <v>46056</v>
      </c>
      <c r="B251" s="5">
        <v>2026</v>
      </c>
      <c r="C251" s="5" t="s">
        <v>248</v>
      </c>
      <c r="D251" s="5" t="s">
        <v>83</v>
      </c>
      <c r="E251" s="5" t="s">
        <v>323</v>
      </c>
      <c r="F251" s="5" t="s">
        <v>324</v>
      </c>
      <c r="G251" s="5" t="s">
        <v>311</v>
      </c>
      <c r="H251" s="5" t="s">
        <v>16</v>
      </c>
      <c r="I251" s="5">
        <v>19</v>
      </c>
      <c r="J251" s="5">
        <v>205.8</v>
      </c>
      <c r="K251" s="5">
        <v>2989.97</v>
      </c>
      <c r="L251" s="7">
        <f t="shared" si="9"/>
        <v>3910.2000000000003</v>
      </c>
      <c r="M251" s="7">
        <f t="shared" si="10"/>
        <v>920.23000000000047</v>
      </c>
      <c r="N251" t="str">
        <f t="shared" si="11"/>
        <v>High</v>
      </c>
    </row>
    <row r="252" spans="1:14" x14ac:dyDescent="0.3">
      <c r="A252" s="2">
        <v>46055</v>
      </c>
      <c r="B252" s="3">
        <v>2026</v>
      </c>
      <c r="C252" s="3" t="s">
        <v>212</v>
      </c>
      <c r="D252" s="3" t="s">
        <v>172</v>
      </c>
      <c r="E252" s="3" t="s">
        <v>338</v>
      </c>
      <c r="F252" s="3" t="s">
        <v>339</v>
      </c>
      <c r="G252" s="3" t="s">
        <v>311</v>
      </c>
      <c r="H252" s="3" t="s">
        <v>16</v>
      </c>
      <c r="I252" s="3">
        <v>10</v>
      </c>
      <c r="J252" s="3">
        <v>369.11</v>
      </c>
      <c r="K252" s="3">
        <v>2725.92</v>
      </c>
      <c r="L252" s="7">
        <f t="shared" si="9"/>
        <v>3691.1000000000004</v>
      </c>
      <c r="M252" s="7">
        <f t="shared" si="10"/>
        <v>965.18000000000029</v>
      </c>
      <c r="N252" t="str">
        <f t="shared" si="11"/>
        <v>High</v>
      </c>
    </row>
    <row r="253" spans="1:14" x14ac:dyDescent="0.3">
      <c r="A253" s="4">
        <v>46383</v>
      </c>
      <c r="B253" s="5">
        <v>2026</v>
      </c>
      <c r="C253" s="5" t="s">
        <v>262</v>
      </c>
      <c r="D253" s="5" t="s">
        <v>126</v>
      </c>
      <c r="E253" s="5" t="s">
        <v>321</v>
      </c>
      <c r="F253" s="5" t="s">
        <v>322</v>
      </c>
      <c r="G253" s="5" t="s">
        <v>311</v>
      </c>
      <c r="H253" s="5" t="s">
        <v>21</v>
      </c>
      <c r="I253" s="5">
        <v>5</v>
      </c>
      <c r="J253" s="5">
        <v>456.79</v>
      </c>
      <c r="K253" s="5">
        <v>1831.54</v>
      </c>
      <c r="L253" s="7">
        <f t="shared" si="9"/>
        <v>2283.9500000000003</v>
      </c>
      <c r="M253" s="7">
        <f t="shared" si="10"/>
        <v>452.41000000000031</v>
      </c>
      <c r="N253" t="str">
        <f t="shared" si="11"/>
        <v>Medium</v>
      </c>
    </row>
    <row r="254" spans="1:14" x14ac:dyDescent="0.3">
      <c r="A254" s="2">
        <v>46136</v>
      </c>
      <c r="B254" s="3">
        <v>2026</v>
      </c>
      <c r="C254" s="3" t="s">
        <v>40</v>
      </c>
      <c r="D254" s="3" t="s">
        <v>341</v>
      </c>
      <c r="E254" s="3" t="s">
        <v>338</v>
      </c>
      <c r="F254" s="3" t="s">
        <v>339</v>
      </c>
      <c r="G254" s="3" t="s">
        <v>311</v>
      </c>
      <c r="H254" s="3" t="s">
        <v>16</v>
      </c>
      <c r="I254" s="3">
        <v>6</v>
      </c>
      <c r="J254" s="3">
        <v>258.42</v>
      </c>
      <c r="K254" s="3">
        <v>854.97</v>
      </c>
      <c r="L254" s="7">
        <f t="shared" si="9"/>
        <v>1550.52</v>
      </c>
      <c r="M254" s="7">
        <f t="shared" si="10"/>
        <v>695.55</v>
      </c>
      <c r="N254" t="str">
        <f t="shared" si="11"/>
        <v>Medium</v>
      </c>
    </row>
    <row r="255" spans="1:14" x14ac:dyDescent="0.3">
      <c r="A255" s="4">
        <v>46067</v>
      </c>
      <c r="B255" s="5">
        <v>2026</v>
      </c>
      <c r="C255" s="5" t="s">
        <v>171</v>
      </c>
      <c r="D255" s="5" t="s">
        <v>342</v>
      </c>
      <c r="E255" s="5" t="s">
        <v>316</v>
      </c>
      <c r="F255" s="5" t="s">
        <v>317</v>
      </c>
      <c r="G255" s="5" t="s">
        <v>311</v>
      </c>
      <c r="H255" s="5" t="s">
        <v>21</v>
      </c>
      <c r="I255" s="5">
        <v>4</v>
      </c>
      <c r="J255" s="5">
        <v>395.98</v>
      </c>
      <c r="K255" s="5">
        <v>1183.24</v>
      </c>
      <c r="L255" s="7">
        <f t="shared" si="9"/>
        <v>1583.92</v>
      </c>
      <c r="M255" s="7">
        <f t="shared" si="10"/>
        <v>400.68000000000006</v>
      </c>
      <c r="N255" t="str">
        <f t="shared" si="11"/>
        <v>Medium</v>
      </c>
    </row>
    <row r="256" spans="1:14" x14ac:dyDescent="0.3">
      <c r="A256" s="2">
        <v>46203</v>
      </c>
      <c r="B256" s="3">
        <v>2026</v>
      </c>
      <c r="C256" s="3" t="s">
        <v>11</v>
      </c>
      <c r="D256" s="3" t="s">
        <v>62</v>
      </c>
      <c r="E256" s="3" t="s">
        <v>309</v>
      </c>
      <c r="F256" s="3" t="s">
        <v>310</v>
      </c>
      <c r="G256" s="3" t="s">
        <v>311</v>
      </c>
      <c r="H256" s="3" t="s">
        <v>28</v>
      </c>
      <c r="I256" s="3">
        <v>3</v>
      </c>
      <c r="J256" s="3">
        <v>58.51</v>
      </c>
      <c r="K256" s="3">
        <v>126.1</v>
      </c>
      <c r="L256" s="7">
        <f t="shared" si="9"/>
        <v>175.53</v>
      </c>
      <c r="M256" s="7">
        <f t="shared" si="10"/>
        <v>49.430000000000007</v>
      </c>
      <c r="N256" t="str">
        <f t="shared" si="11"/>
        <v>Low</v>
      </c>
    </row>
    <row r="257" spans="1:14" x14ac:dyDescent="0.3">
      <c r="A257" s="4">
        <v>46230</v>
      </c>
      <c r="B257" s="5">
        <v>2026</v>
      </c>
      <c r="C257" s="5" t="s">
        <v>84</v>
      </c>
      <c r="D257" s="5" t="s">
        <v>97</v>
      </c>
      <c r="E257" s="5" t="s">
        <v>309</v>
      </c>
      <c r="F257" s="5" t="s">
        <v>310</v>
      </c>
      <c r="G257" s="5" t="s">
        <v>311</v>
      </c>
      <c r="H257" s="5" t="s">
        <v>39</v>
      </c>
      <c r="I257" s="5">
        <v>9</v>
      </c>
      <c r="J257" s="5">
        <v>209.61</v>
      </c>
      <c r="K257" s="5">
        <v>1224.8599999999999</v>
      </c>
      <c r="L257" s="7">
        <f t="shared" si="9"/>
        <v>1886.4900000000002</v>
      </c>
      <c r="M257" s="7">
        <f t="shared" si="10"/>
        <v>661.63000000000034</v>
      </c>
      <c r="N257" t="str">
        <f t="shared" si="11"/>
        <v>Medium</v>
      </c>
    </row>
    <row r="258" spans="1:14" x14ac:dyDescent="0.3">
      <c r="A258" s="2">
        <v>46264</v>
      </c>
      <c r="B258" s="3">
        <v>2026</v>
      </c>
      <c r="C258" s="3" t="s">
        <v>183</v>
      </c>
      <c r="D258" s="3" t="s">
        <v>343</v>
      </c>
      <c r="E258" s="3" t="s">
        <v>313</v>
      </c>
      <c r="F258" s="3" t="s">
        <v>314</v>
      </c>
      <c r="G258" s="3" t="s">
        <v>311</v>
      </c>
      <c r="H258" s="3" t="s">
        <v>39</v>
      </c>
      <c r="I258" s="3">
        <v>1</v>
      </c>
      <c r="J258" s="3">
        <v>437.87</v>
      </c>
      <c r="K258" s="3">
        <v>279.17</v>
      </c>
      <c r="L258" s="7">
        <f t="shared" si="9"/>
        <v>437.87</v>
      </c>
      <c r="M258" s="7">
        <f t="shared" si="10"/>
        <v>158.69999999999999</v>
      </c>
      <c r="N258" t="str">
        <f t="shared" si="11"/>
        <v>Low</v>
      </c>
    </row>
    <row r="259" spans="1:14" x14ac:dyDescent="0.3">
      <c r="A259" s="4">
        <v>46306</v>
      </c>
      <c r="B259" s="5">
        <v>2026</v>
      </c>
      <c r="C259" s="5" t="s">
        <v>331</v>
      </c>
      <c r="D259" s="5" t="s">
        <v>330</v>
      </c>
      <c r="E259" s="5" t="s">
        <v>338</v>
      </c>
      <c r="F259" s="5" t="s">
        <v>339</v>
      </c>
      <c r="G259" s="5" t="s">
        <v>311</v>
      </c>
      <c r="H259" s="5" t="s">
        <v>16</v>
      </c>
      <c r="I259" s="5">
        <v>6</v>
      </c>
      <c r="J259" s="5">
        <v>349.4</v>
      </c>
      <c r="K259" s="5">
        <v>1226.68</v>
      </c>
      <c r="L259" s="7">
        <f t="shared" ref="L259:L322" si="12">I259*J259</f>
        <v>2096.3999999999996</v>
      </c>
      <c r="M259" s="7">
        <f t="shared" ref="M259:M322" si="13">L259-K259</f>
        <v>869.71999999999957</v>
      </c>
      <c r="N259" t="str">
        <f t="shared" ref="N259:N322" si="14">IF(L259&gt;=3000,"High",IF(L259&gt;=1500,"Medium","Low"))</f>
        <v>Medium</v>
      </c>
    </row>
    <row r="260" spans="1:14" x14ac:dyDescent="0.3">
      <c r="A260" s="2">
        <v>46177</v>
      </c>
      <c r="B260" s="3">
        <v>2026</v>
      </c>
      <c r="C260" s="3" t="s">
        <v>59</v>
      </c>
      <c r="D260" s="3" t="s">
        <v>109</v>
      </c>
      <c r="E260" s="3" t="s">
        <v>309</v>
      </c>
      <c r="F260" s="3" t="s">
        <v>310</v>
      </c>
      <c r="G260" s="3" t="s">
        <v>311</v>
      </c>
      <c r="H260" s="3" t="s">
        <v>16</v>
      </c>
      <c r="I260" s="3">
        <v>17</v>
      </c>
      <c r="J260" s="3">
        <v>75.47</v>
      </c>
      <c r="K260" s="3">
        <v>841.3</v>
      </c>
      <c r="L260" s="7">
        <f t="shared" si="12"/>
        <v>1282.99</v>
      </c>
      <c r="M260" s="7">
        <f t="shared" si="13"/>
        <v>441.69000000000005</v>
      </c>
      <c r="N260" t="str">
        <f t="shared" si="14"/>
        <v>Low</v>
      </c>
    </row>
    <row r="261" spans="1:14" x14ac:dyDescent="0.3">
      <c r="A261" s="4">
        <v>46103</v>
      </c>
      <c r="B261" s="5">
        <v>2026</v>
      </c>
      <c r="C261" s="5" t="s">
        <v>335</v>
      </c>
      <c r="D261" s="5" t="s">
        <v>344</v>
      </c>
      <c r="E261" s="5" t="s">
        <v>338</v>
      </c>
      <c r="F261" s="5" t="s">
        <v>339</v>
      </c>
      <c r="G261" s="5" t="s">
        <v>311</v>
      </c>
      <c r="H261" s="5" t="s">
        <v>16</v>
      </c>
      <c r="I261" s="5">
        <v>9</v>
      </c>
      <c r="J261" s="5">
        <v>275.76</v>
      </c>
      <c r="K261" s="5">
        <v>1425.27</v>
      </c>
      <c r="L261" s="7">
        <f t="shared" si="12"/>
        <v>2481.84</v>
      </c>
      <c r="M261" s="7">
        <f t="shared" si="13"/>
        <v>1056.5700000000002</v>
      </c>
      <c r="N261" t="str">
        <f t="shared" si="14"/>
        <v>Medium</v>
      </c>
    </row>
    <row r="262" spans="1:14" x14ac:dyDescent="0.3">
      <c r="A262" s="2">
        <v>46282</v>
      </c>
      <c r="B262" s="3">
        <v>2026</v>
      </c>
      <c r="C262" s="3" t="s">
        <v>78</v>
      </c>
      <c r="D262" s="3" t="s">
        <v>157</v>
      </c>
      <c r="E262" s="3" t="s">
        <v>338</v>
      </c>
      <c r="F262" s="3" t="s">
        <v>339</v>
      </c>
      <c r="G262" s="3" t="s">
        <v>311</v>
      </c>
      <c r="H262" s="3" t="s">
        <v>39</v>
      </c>
      <c r="I262" s="3">
        <v>7</v>
      </c>
      <c r="J262" s="3">
        <v>250.67</v>
      </c>
      <c r="K262" s="3">
        <v>1022.28</v>
      </c>
      <c r="L262" s="7">
        <f t="shared" si="12"/>
        <v>1754.6899999999998</v>
      </c>
      <c r="M262" s="7">
        <f t="shared" si="13"/>
        <v>732.40999999999985</v>
      </c>
      <c r="N262" t="str">
        <f t="shared" si="14"/>
        <v>Medium</v>
      </c>
    </row>
    <row r="263" spans="1:14" x14ac:dyDescent="0.3">
      <c r="A263" s="4">
        <v>46195</v>
      </c>
      <c r="B263" s="5">
        <v>2026</v>
      </c>
      <c r="C263" s="5" t="s">
        <v>161</v>
      </c>
      <c r="D263" s="5" t="s">
        <v>340</v>
      </c>
      <c r="E263" s="5" t="s">
        <v>327</v>
      </c>
      <c r="F263" s="5" t="s">
        <v>328</v>
      </c>
      <c r="G263" s="5" t="s">
        <v>311</v>
      </c>
      <c r="H263" s="5" t="s">
        <v>21</v>
      </c>
      <c r="I263" s="5">
        <v>19</v>
      </c>
      <c r="J263" s="5">
        <v>239.14</v>
      </c>
      <c r="K263" s="5">
        <v>3257.32</v>
      </c>
      <c r="L263" s="7">
        <f t="shared" si="12"/>
        <v>4543.66</v>
      </c>
      <c r="M263" s="7">
        <f t="shared" si="13"/>
        <v>1286.3399999999997</v>
      </c>
      <c r="N263" t="str">
        <f t="shared" si="14"/>
        <v>High</v>
      </c>
    </row>
    <row r="264" spans="1:14" x14ac:dyDescent="0.3">
      <c r="A264" s="2">
        <v>46128</v>
      </c>
      <c r="B264" s="3">
        <v>2026</v>
      </c>
      <c r="C264" s="3" t="s">
        <v>329</v>
      </c>
      <c r="D264" s="3" t="s">
        <v>345</v>
      </c>
      <c r="E264" s="3" t="s">
        <v>313</v>
      </c>
      <c r="F264" s="3" t="s">
        <v>314</v>
      </c>
      <c r="G264" s="3" t="s">
        <v>311</v>
      </c>
      <c r="H264" s="3" t="s">
        <v>39</v>
      </c>
      <c r="I264" s="3">
        <v>9</v>
      </c>
      <c r="J264" s="3">
        <v>444.4</v>
      </c>
      <c r="K264" s="3">
        <v>2827.71</v>
      </c>
      <c r="L264" s="7">
        <f t="shared" si="12"/>
        <v>3999.6</v>
      </c>
      <c r="M264" s="7">
        <f t="shared" si="13"/>
        <v>1171.8899999999999</v>
      </c>
      <c r="N264" t="str">
        <f t="shared" si="14"/>
        <v>High</v>
      </c>
    </row>
    <row r="265" spans="1:14" x14ac:dyDescent="0.3">
      <c r="A265" s="4">
        <v>46273</v>
      </c>
      <c r="B265" s="5">
        <v>2026</v>
      </c>
      <c r="C265" s="5" t="s">
        <v>108</v>
      </c>
      <c r="D265" s="5" t="s">
        <v>268</v>
      </c>
      <c r="E265" s="5" t="s">
        <v>323</v>
      </c>
      <c r="F265" s="5" t="s">
        <v>324</v>
      </c>
      <c r="G265" s="5" t="s">
        <v>311</v>
      </c>
      <c r="H265" s="5" t="s">
        <v>39</v>
      </c>
      <c r="I265" s="5">
        <v>1</v>
      </c>
      <c r="J265" s="5">
        <v>252.71</v>
      </c>
      <c r="K265" s="5">
        <v>145.18</v>
      </c>
      <c r="L265" s="7">
        <f t="shared" si="12"/>
        <v>252.71</v>
      </c>
      <c r="M265" s="7">
        <f t="shared" si="13"/>
        <v>107.53</v>
      </c>
      <c r="N265" t="str">
        <f t="shared" si="14"/>
        <v>Low</v>
      </c>
    </row>
    <row r="266" spans="1:14" x14ac:dyDescent="0.3">
      <c r="A266" s="2">
        <v>46069</v>
      </c>
      <c r="B266" s="3">
        <v>2026</v>
      </c>
      <c r="C266" s="3" t="s">
        <v>303</v>
      </c>
      <c r="D266" s="3" t="s">
        <v>60</v>
      </c>
      <c r="E266" s="3" t="s">
        <v>321</v>
      </c>
      <c r="F266" s="3" t="s">
        <v>322</v>
      </c>
      <c r="G266" s="3" t="s">
        <v>311</v>
      </c>
      <c r="H266" s="3" t="s">
        <v>16</v>
      </c>
      <c r="I266" s="3">
        <v>1</v>
      </c>
      <c r="J266" s="3">
        <v>283.81</v>
      </c>
      <c r="K266" s="3">
        <v>160.80000000000001</v>
      </c>
      <c r="L266" s="7">
        <f t="shared" si="12"/>
        <v>283.81</v>
      </c>
      <c r="M266" s="7">
        <f t="shared" si="13"/>
        <v>123.00999999999999</v>
      </c>
      <c r="N266" t="str">
        <f t="shared" si="14"/>
        <v>Low</v>
      </c>
    </row>
    <row r="267" spans="1:14" x14ac:dyDescent="0.3">
      <c r="A267" s="4">
        <v>46300</v>
      </c>
      <c r="B267" s="5">
        <v>2026</v>
      </c>
      <c r="C267" s="5" t="s">
        <v>273</v>
      </c>
      <c r="D267" s="5" t="s">
        <v>346</v>
      </c>
      <c r="E267" s="5" t="s">
        <v>327</v>
      </c>
      <c r="F267" s="5" t="s">
        <v>328</v>
      </c>
      <c r="G267" s="5" t="s">
        <v>311</v>
      </c>
      <c r="H267" s="5" t="s">
        <v>28</v>
      </c>
      <c r="I267" s="5">
        <v>13</v>
      </c>
      <c r="J267" s="5">
        <v>213.24</v>
      </c>
      <c r="K267" s="5">
        <v>1734.92</v>
      </c>
      <c r="L267" s="7">
        <f t="shared" si="12"/>
        <v>2772.12</v>
      </c>
      <c r="M267" s="7">
        <f t="shared" si="13"/>
        <v>1037.1999999999998</v>
      </c>
      <c r="N267" t="str">
        <f t="shared" si="14"/>
        <v>Medium</v>
      </c>
    </row>
    <row r="268" spans="1:14" x14ac:dyDescent="0.3">
      <c r="A268" s="2">
        <v>46168</v>
      </c>
      <c r="B268" s="3">
        <v>2026</v>
      </c>
      <c r="C268" s="3" t="s">
        <v>335</v>
      </c>
      <c r="D268" s="3" t="s">
        <v>160</v>
      </c>
      <c r="E268" s="3" t="s">
        <v>319</v>
      </c>
      <c r="F268" s="3" t="s">
        <v>320</v>
      </c>
      <c r="G268" s="3" t="s">
        <v>311</v>
      </c>
      <c r="H268" s="3" t="s">
        <v>16</v>
      </c>
      <c r="I268" s="3">
        <v>8</v>
      </c>
      <c r="J268" s="3">
        <v>90.05</v>
      </c>
      <c r="K268" s="3">
        <v>411.07</v>
      </c>
      <c r="L268" s="7">
        <f t="shared" si="12"/>
        <v>720.4</v>
      </c>
      <c r="M268" s="7">
        <f t="shared" si="13"/>
        <v>309.33</v>
      </c>
      <c r="N268" t="str">
        <f t="shared" si="14"/>
        <v>Low</v>
      </c>
    </row>
    <row r="269" spans="1:14" x14ac:dyDescent="0.3">
      <c r="A269" s="4">
        <v>46307</v>
      </c>
      <c r="B269" s="5">
        <v>2026</v>
      </c>
      <c r="C269" s="5" t="s">
        <v>150</v>
      </c>
      <c r="D269" s="5" t="s">
        <v>347</v>
      </c>
      <c r="E269" s="5" t="s">
        <v>316</v>
      </c>
      <c r="F269" s="5" t="s">
        <v>317</v>
      </c>
      <c r="G269" s="5" t="s">
        <v>311</v>
      </c>
      <c r="H269" s="5" t="s">
        <v>16</v>
      </c>
      <c r="I269" s="5">
        <v>6</v>
      </c>
      <c r="J269" s="5">
        <v>486.94</v>
      </c>
      <c r="K269" s="5">
        <v>2221.14</v>
      </c>
      <c r="L269" s="7">
        <f t="shared" si="12"/>
        <v>2921.64</v>
      </c>
      <c r="M269" s="7">
        <f t="shared" si="13"/>
        <v>700.5</v>
      </c>
      <c r="N269" t="str">
        <f t="shared" si="14"/>
        <v>Medium</v>
      </c>
    </row>
    <row r="270" spans="1:14" x14ac:dyDescent="0.3">
      <c r="A270" s="2">
        <v>46211</v>
      </c>
      <c r="B270" s="3">
        <v>2026</v>
      </c>
      <c r="C270" s="3" t="s">
        <v>348</v>
      </c>
      <c r="D270" s="3" t="s">
        <v>216</v>
      </c>
      <c r="E270" s="3" t="s">
        <v>319</v>
      </c>
      <c r="F270" s="3" t="s">
        <v>320</v>
      </c>
      <c r="G270" s="3" t="s">
        <v>311</v>
      </c>
      <c r="H270" s="3" t="s">
        <v>28</v>
      </c>
      <c r="I270" s="3">
        <v>17</v>
      </c>
      <c r="J270" s="3">
        <v>40.25</v>
      </c>
      <c r="K270" s="3">
        <v>563.83000000000004</v>
      </c>
      <c r="L270" s="7">
        <f t="shared" si="12"/>
        <v>684.25</v>
      </c>
      <c r="M270" s="7">
        <f t="shared" si="13"/>
        <v>120.41999999999996</v>
      </c>
      <c r="N270" t="str">
        <f t="shared" si="14"/>
        <v>Low</v>
      </c>
    </row>
    <row r="271" spans="1:14" x14ac:dyDescent="0.3">
      <c r="A271" s="4">
        <v>46223</v>
      </c>
      <c r="B271" s="5">
        <v>2026</v>
      </c>
      <c r="C271" s="5" t="s">
        <v>86</v>
      </c>
      <c r="D271" s="5" t="s">
        <v>347</v>
      </c>
      <c r="E271" s="5" t="s">
        <v>338</v>
      </c>
      <c r="F271" s="5" t="s">
        <v>339</v>
      </c>
      <c r="G271" s="5" t="s">
        <v>311</v>
      </c>
      <c r="H271" s="5" t="s">
        <v>16</v>
      </c>
      <c r="I271" s="5">
        <v>8</v>
      </c>
      <c r="J271" s="5">
        <v>344.5</v>
      </c>
      <c r="K271" s="5">
        <v>1598.47</v>
      </c>
      <c r="L271" s="7">
        <f t="shared" si="12"/>
        <v>2756</v>
      </c>
      <c r="M271" s="7">
        <f t="shared" si="13"/>
        <v>1157.53</v>
      </c>
      <c r="N271" t="str">
        <f t="shared" si="14"/>
        <v>Medium</v>
      </c>
    </row>
    <row r="272" spans="1:14" x14ac:dyDescent="0.3">
      <c r="A272" s="2">
        <v>46306</v>
      </c>
      <c r="B272" s="3">
        <v>2026</v>
      </c>
      <c r="C272" s="3" t="s">
        <v>236</v>
      </c>
      <c r="D272" s="3" t="s">
        <v>349</v>
      </c>
      <c r="E272" s="3" t="s">
        <v>316</v>
      </c>
      <c r="F272" s="3" t="s">
        <v>317</v>
      </c>
      <c r="G272" s="3" t="s">
        <v>311</v>
      </c>
      <c r="H272" s="3" t="s">
        <v>28</v>
      </c>
      <c r="I272" s="3">
        <v>6</v>
      </c>
      <c r="J272" s="3">
        <v>277</v>
      </c>
      <c r="K272" s="3">
        <v>1179.8800000000001</v>
      </c>
      <c r="L272" s="7">
        <f t="shared" si="12"/>
        <v>1662</v>
      </c>
      <c r="M272" s="7">
        <f t="shared" si="13"/>
        <v>482.11999999999989</v>
      </c>
      <c r="N272" t="str">
        <f t="shared" si="14"/>
        <v>Medium</v>
      </c>
    </row>
    <row r="273" spans="1:14" x14ac:dyDescent="0.3">
      <c r="A273" s="4">
        <v>46215</v>
      </c>
      <c r="B273" s="5">
        <v>2026</v>
      </c>
      <c r="C273" s="5" t="s">
        <v>148</v>
      </c>
      <c r="D273" s="5" t="s">
        <v>350</v>
      </c>
      <c r="E273" s="5" t="s">
        <v>309</v>
      </c>
      <c r="F273" s="5" t="s">
        <v>310</v>
      </c>
      <c r="G273" s="5" t="s">
        <v>311</v>
      </c>
      <c r="H273" s="5" t="s">
        <v>39</v>
      </c>
      <c r="I273" s="5">
        <v>5</v>
      </c>
      <c r="J273" s="5">
        <v>81.93</v>
      </c>
      <c r="K273" s="5">
        <v>315.45999999999998</v>
      </c>
      <c r="L273" s="7">
        <f t="shared" si="12"/>
        <v>409.65000000000003</v>
      </c>
      <c r="M273" s="7">
        <f t="shared" si="13"/>
        <v>94.190000000000055</v>
      </c>
      <c r="N273" t="str">
        <f t="shared" si="14"/>
        <v>Low</v>
      </c>
    </row>
    <row r="274" spans="1:14" x14ac:dyDescent="0.3">
      <c r="A274" s="2">
        <v>46073</v>
      </c>
      <c r="B274" s="3">
        <v>2026</v>
      </c>
      <c r="C274" s="3" t="s">
        <v>204</v>
      </c>
      <c r="D274" s="3" t="s">
        <v>351</v>
      </c>
      <c r="E274" s="3" t="s">
        <v>338</v>
      </c>
      <c r="F274" s="3" t="s">
        <v>339</v>
      </c>
      <c r="G274" s="3" t="s">
        <v>311</v>
      </c>
      <c r="H274" s="3" t="s">
        <v>21</v>
      </c>
      <c r="I274" s="3">
        <v>4</v>
      </c>
      <c r="J274" s="3">
        <v>182.05</v>
      </c>
      <c r="K274" s="3">
        <v>481.49</v>
      </c>
      <c r="L274" s="7">
        <f t="shared" si="12"/>
        <v>728.2</v>
      </c>
      <c r="M274" s="7">
        <f t="shared" si="13"/>
        <v>246.71000000000004</v>
      </c>
      <c r="N274" t="str">
        <f t="shared" si="14"/>
        <v>Low</v>
      </c>
    </row>
    <row r="275" spans="1:14" x14ac:dyDescent="0.3">
      <c r="A275" s="4">
        <v>46257</v>
      </c>
      <c r="B275" s="5">
        <v>2026</v>
      </c>
      <c r="C275" s="5" t="s">
        <v>236</v>
      </c>
      <c r="D275" s="5" t="s">
        <v>85</v>
      </c>
      <c r="E275" s="5" t="s">
        <v>316</v>
      </c>
      <c r="F275" s="5" t="s">
        <v>317</v>
      </c>
      <c r="G275" s="5" t="s">
        <v>311</v>
      </c>
      <c r="H275" s="5" t="s">
        <v>39</v>
      </c>
      <c r="I275" s="5">
        <v>18</v>
      </c>
      <c r="J275" s="5">
        <v>179.1</v>
      </c>
      <c r="K275" s="5">
        <v>2122.4</v>
      </c>
      <c r="L275" s="7">
        <f t="shared" si="12"/>
        <v>3223.7999999999997</v>
      </c>
      <c r="M275" s="7">
        <f t="shared" si="13"/>
        <v>1101.3999999999996</v>
      </c>
      <c r="N275" t="str">
        <f t="shared" si="14"/>
        <v>High</v>
      </c>
    </row>
    <row r="276" spans="1:14" x14ac:dyDescent="0.3">
      <c r="A276" s="2">
        <v>46250</v>
      </c>
      <c r="B276" s="3">
        <v>2026</v>
      </c>
      <c r="C276" s="3" t="s">
        <v>237</v>
      </c>
      <c r="D276" s="3" t="s">
        <v>352</v>
      </c>
      <c r="E276" s="3" t="s">
        <v>309</v>
      </c>
      <c r="F276" s="3" t="s">
        <v>310</v>
      </c>
      <c r="G276" s="3" t="s">
        <v>311</v>
      </c>
      <c r="H276" s="3" t="s">
        <v>16</v>
      </c>
      <c r="I276" s="3">
        <v>15</v>
      </c>
      <c r="J276" s="3">
        <v>181.75</v>
      </c>
      <c r="K276" s="3">
        <v>1555.33</v>
      </c>
      <c r="L276" s="7">
        <f t="shared" si="12"/>
        <v>2726.25</v>
      </c>
      <c r="M276" s="7">
        <f t="shared" si="13"/>
        <v>1170.92</v>
      </c>
      <c r="N276" t="str">
        <f t="shared" si="14"/>
        <v>Medium</v>
      </c>
    </row>
    <row r="277" spans="1:14" x14ac:dyDescent="0.3">
      <c r="A277" s="4">
        <v>46281</v>
      </c>
      <c r="B277" s="5">
        <v>2026</v>
      </c>
      <c r="C277" s="5" t="s">
        <v>353</v>
      </c>
      <c r="D277" s="5" t="s">
        <v>267</v>
      </c>
      <c r="E277" s="5" t="s">
        <v>338</v>
      </c>
      <c r="F277" s="5" t="s">
        <v>339</v>
      </c>
      <c r="G277" s="5" t="s">
        <v>311</v>
      </c>
      <c r="H277" s="5" t="s">
        <v>28</v>
      </c>
      <c r="I277" s="5">
        <v>3</v>
      </c>
      <c r="J277" s="5">
        <v>237.43</v>
      </c>
      <c r="K277" s="5">
        <v>490.56</v>
      </c>
      <c r="L277" s="7">
        <f t="shared" si="12"/>
        <v>712.29</v>
      </c>
      <c r="M277" s="7">
        <f t="shared" si="13"/>
        <v>221.72999999999996</v>
      </c>
      <c r="N277" t="str">
        <f t="shared" si="14"/>
        <v>Low</v>
      </c>
    </row>
    <row r="278" spans="1:14" x14ac:dyDescent="0.3">
      <c r="A278" s="2">
        <v>46380</v>
      </c>
      <c r="B278" s="3">
        <v>2026</v>
      </c>
      <c r="C278" s="3" t="s">
        <v>94</v>
      </c>
      <c r="D278" s="3" t="s">
        <v>232</v>
      </c>
      <c r="E278" s="3" t="s">
        <v>319</v>
      </c>
      <c r="F278" s="3" t="s">
        <v>320</v>
      </c>
      <c r="G278" s="3" t="s">
        <v>311</v>
      </c>
      <c r="H278" s="3" t="s">
        <v>16</v>
      </c>
      <c r="I278" s="3">
        <v>7</v>
      </c>
      <c r="J278" s="3">
        <v>480.11</v>
      </c>
      <c r="K278" s="3">
        <v>2360.8000000000002</v>
      </c>
      <c r="L278" s="7">
        <f t="shared" si="12"/>
        <v>3360.77</v>
      </c>
      <c r="M278" s="7">
        <f t="shared" si="13"/>
        <v>999.9699999999998</v>
      </c>
      <c r="N278" t="str">
        <f t="shared" si="14"/>
        <v>High</v>
      </c>
    </row>
    <row r="279" spans="1:14" x14ac:dyDescent="0.3">
      <c r="A279" s="4">
        <v>46063</v>
      </c>
      <c r="B279" s="5">
        <v>2026</v>
      </c>
      <c r="C279" s="5" t="s">
        <v>354</v>
      </c>
      <c r="D279" s="5" t="s">
        <v>113</v>
      </c>
      <c r="E279" s="5" t="s">
        <v>355</v>
      </c>
      <c r="F279" s="5" t="s">
        <v>356</v>
      </c>
      <c r="G279" s="5" t="s">
        <v>357</v>
      </c>
      <c r="H279" s="5" t="s">
        <v>16</v>
      </c>
      <c r="I279" s="5">
        <v>4</v>
      </c>
      <c r="J279" s="5">
        <v>358.32</v>
      </c>
      <c r="K279" s="5">
        <v>1035.5899999999999</v>
      </c>
      <c r="L279" s="7">
        <f t="shared" si="12"/>
        <v>1433.28</v>
      </c>
      <c r="M279" s="7">
        <f t="shared" si="13"/>
        <v>397.69000000000005</v>
      </c>
      <c r="N279" t="str">
        <f t="shared" si="14"/>
        <v>Low</v>
      </c>
    </row>
    <row r="280" spans="1:14" x14ac:dyDescent="0.3">
      <c r="A280" s="2">
        <v>46332</v>
      </c>
      <c r="B280" s="3">
        <v>2026</v>
      </c>
      <c r="C280" s="3" t="s">
        <v>331</v>
      </c>
      <c r="D280" s="3" t="s">
        <v>349</v>
      </c>
      <c r="E280" s="3" t="s">
        <v>358</v>
      </c>
      <c r="F280" s="3" t="s">
        <v>359</v>
      </c>
      <c r="G280" s="3" t="s">
        <v>357</v>
      </c>
      <c r="H280" s="3" t="s">
        <v>39</v>
      </c>
      <c r="I280" s="3">
        <v>15</v>
      </c>
      <c r="J280" s="3">
        <v>175.8</v>
      </c>
      <c r="K280" s="3">
        <v>1763.84</v>
      </c>
      <c r="L280" s="7">
        <f t="shared" si="12"/>
        <v>2637</v>
      </c>
      <c r="M280" s="7">
        <f t="shared" si="13"/>
        <v>873.16000000000008</v>
      </c>
      <c r="N280" t="str">
        <f t="shared" si="14"/>
        <v>Medium</v>
      </c>
    </row>
    <row r="281" spans="1:14" x14ac:dyDescent="0.3">
      <c r="A281" s="4">
        <v>46115</v>
      </c>
      <c r="B281" s="5">
        <v>2026</v>
      </c>
      <c r="C281" s="5" t="s">
        <v>132</v>
      </c>
      <c r="D281" s="5" t="s">
        <v>91</v>
      </c>
      <c r="E281" s="5" t="s">
        <v>360</v>
      </c>
      <c r="F281" s="5" t="s">
        <v>361</v>
      </c>
      <c r="G281" s="5" t="s">
        <v>357</v>
      </c>
      <c r="H281" s="5" t="s">
        <v>21</v>
      </c>
      <c r="I281" s="5">
        <v>1</v>
      </c>
      <c r="J281" s="5">
        <v>407.67</v>
      </c>
      <c r="K281" s="5">
        <v>288.17</v>
      </c>
      <c r="L281" s="7">
        <f t="shared" si="12"/>
        <v>407.67</v>
      </c>
      <c r="M281" s="7">
        <f t="shared" si="13"/>
        <v>119.5</v>
      </c>
      <c r="N281" t="str">
        <f t="shared" si="14"/>
        <v>Low</v>
      </c>
    </row>
    <row r="282" spans="1:14" x14ac:dyDescent="0.3">
      <c r="A282" s="2">
        <v>46269</v>
      </c>
      <c r="B282" s="3">
        <v>2026</v>
      </c>
      <c r="C282" s="3" t="s">
        <v>297</v>
      </c>
      <c r="D282" s="3" t="s">
        <v>362</v>
      </c>
      <c r="E282" s="3" t="s">
        <v>363</v>
      </c>
      <c r="F282" s="3" t="s">
        <v>364</v>
      </c>
      <c r="G282" s="3" t="s">
        <v>357</v>
      </c>
      <c r="H282" s="3" t="s">
        <v>21</v>
      </c>
      <c r="I282" s="3">
        <v>15</v>
      </c>
      <c r="J282" s="3">
        <v>272.16000000000003</v>
      </c>
      <c r="K282" s="3">
        <v>2496.39</v>
      </c>
      <c r="L282" s="7">
        <f t="shared" si="12"/>
        <v>4082.4000000000005</v>
      </c>
      <c r="M282" s="7">
        <f t="shared" si="13"/>
        <v>1586.0100000000007</v>
      </c>
      <c r="N282" t="str">
        <f t="shared" si="14"/>
        <v>High</v>
      </c>
    </row>
    <row r="283" spans="1:14" x14ac:dyDescent="0.3">
      <c r="A283" s="4">
        <v>46084</v>
      </c>
      <c r="B283" s="5">
        <v>2026</v>
      </c>
      <c r="C283" s="5" t="s">
        <v>68</v>
      </c>
      <c r="D283" s="5" t="s">
        <v>284</v>
      </c>
      <c r="E283" s="5" t="s">
        <v>355</v>
      </c>
      <c r="F283" s="5" t="s">
        <v>356</v>
      </c>
      <c r="G283" s="5" t="s">
        <v>357</v>
      </c>
      <c r="H283" s="5" t="s">
        <v>28</v>
      </c>
      <c r="I283" s="5">
        <v>3</v>
      </c>
      <c r="J283" s="5">
        <v>396.35</v>
      </c>
      <c r="K283" s="5">
        <v>768.01</v>
      </c>
      <c r="L283" s="7">
        <f t="shared" si="12"/>
        <v>1189.0500000000002</v>
      </c>
      <c r="M283" s="7">
        <f t="shared" si="13"/>
        <v>421.04000000000019</v>
      </c>
      <c r="N283" t="str">
        <f t="shared" si="14"/>
        <v>Low</v>
      </c>
    </row>
    <row r="284" spans="1:14" x14ac:dyDescent="0.3">
      <c r="A284" s="2">
        <v>46291</v>
      </c>
      <c r="B284" s="3">
        <v>2026</v>
      </c>
      <c r="C284" s="3" t="s">
        <v>331</v>
      </c>
      <c r="D284" s="3" t="s">
        <v>166</v>
      </c>
      <c r="E284" s="3" t="s">
        <v>355</v>
      </c>
      <c r="F284" s="3" t="s">
        <v>356</v>
      </c>
      <c r="G284" s="3" t="s">
        <v>357</v>
      </c>
      <c r="H284" s="3" t="s">
        <v>21</v>
      </c>
      <c r="I284" s="3">
        <v>10</v>
      </c>
      <c r="J284" s="3">
        <v>229.1</v>
      </c>
      <c r="K284" s="3">
        <v>1720.56</v>
      </c>
      <c r="L284" s="7">
        <f t="shared" si="12"/>
        <v>2291</v>
      </c>
      <c r="M284" s="7">
        <f t="shared" si="13"/>
        <v>570.44000000000005</v>
      </c>
      <c r="N284" t="str">
        <f t="shared" si="14"/>
        <v>Medium</v>
      </c>
    </row>
    <row r="285" spans="1:14" x14ac:dyDescent="0.3">
      <c r="A285" s="4">
        <v>46030</v>
      </c>
      <c r="B285" s="5">
        <v>2026</v>
      </c>
      <c r="C285" s="5" t="s">
        <v>22</v>
      </c>
      <c r="D285" s="5" t="s">
        <v>122</v>
      </c>
      <c r="E285" s="5" t="s">
        <v>355</v>
      </c>
      <c r="F285" s="5" t="s">
        <v>356</v>
      </c>
      <c r="G285" s="5" t="s">
        <v>357</v>
      </c>
      <c r="H285" s="5" t="s">
        <v>21</v>
      </c>
      <c r="I285" s="5">
        <v>10</v>
      </c>
      <c r="J285" s="5">
        <v>457.33</v>
      </c>
      <c r="K285" s="5">
        <v>3420.38</v>
      </c>
      <c r="L285" s="7">
        <f t="shared" si="12"/>
        <v>4573.3</v>
      </c>
      <c r="M285" s="7">
        <f t="shared" si="13"/>
        <v>1152.92</v>
      </c>
      <c r="N285" t="str">
        <f t="shared" si="14"/>
        <v>High</v>
      </c>
    </row>
    <row r="286" spans="1:14" x14ac:dyDescent="0.3">
      <c r="A286" s="2">
        <v>46277</v>
      </c>
      <c r="B286" s="3">
        <v>2026</v>
      </c>
      <c r="C286" s="3" t="s">
        <v>74</v>
      </c>
      <c r="D286" s="3" t="s">
        <v>152</v>
      </c>
      <c r="E286" s="3" t="s">
        <v>355</v>
      </c>
      <c r="F286" s="3" t="s">
        <v>356</v>
      </c>
      <c r="G286" s="3" t="s">
        <v>357</v>
      </c>
      <c r="H286" s="3" t="s">
        <v>39</v>
      </c>
      <c r="I286" s="3">
        <v>11</v>
      </c>
      <c r="J286" s="3">
        <v>373.71</v>
      </c>
      <c r="K286" s="3">
        <v>2576.09</v>
      </c>
      <c r="L286" s="7">
        <f t="shared" si="12"/>
        <v>4110.8099999999995</v>
      </c>
      <c r="M286" s="7">
        <f t="shared" si="13"/>
        <v>1534.7199999999993</v>
      </c>
      <c r="N286" t="str">
        <f t="shared" si="14"/>
        <v>High</v>
      </c>
    </row>
    <row r="287" spans="1:14" x14ac:dyDescent="0.3">
      <c r="A287" s="4">
        <v>46048</v>
      </c>
      <c r="B287" s="5">
        <v>2026</v>
      </c>
      <c r="C287" s="5" t="s">
        <v>74</v>
      </c>
      <c r="D287" s="5" t="s">
        <v>365</v>
      </c>
      <c r="E287" s="5" t="s">
        <v>355</v>
      </c>
      <c r="F287" s="5" t="s">
        <v>356</v>
      </c>
      <c r="G287" s="5" t="s">
        <v>357</v>
      </c>
      <c r="H287" s="5" t="s">
        <v>39</v>
      </c>
      <c r="I287" s="5">
        <v>9</v>
      </c>
      <c r="J287" s="5">
        <v>261.70999999999998</v>
      </c>
      <c r="K287" s="5">
        <v>1643.71</v>
      </c>
      <c r="L287" s="7">
        <f t="shared" si="12"/>
        <v>2355.39</v>
      </c>
      <c r="M287" s="7">
        <f t="shared" si="13"/>
        <v>711.67999999999984</v>
      </c>
      <c r="N287" t="str">
        <f t="shared" si="14"/>
        <v>Medium</v>
      </c>
    </row>
    <row r="288" spans="1:14" x14ac:dyDescent="0.3">
      <c r="A288" s="2">
        <v>46158</v>
      </c>
      <c r="B288" s="3">
        <v>2026</v>
      </c>
      <c r="C288" s="3" t="s">
        <v>188</v>
      </c>
      <c r="D288" s="3" t="s">
        <v>233</v>
      </c>
      <c r="E288" s="3" t="s">
        <v>355</v>
      </c>
      <c r="F288" s="3" t="s">
        <v>356</v>
      </c>
      <c r="G288" s="3" t="s">
        <v>357</v>
      </c>
      <c r="H288" s="3" t="s">
        <v>39</v>
      </c>
      <c r="I288" s="3">
        <v>6</v>
      </c>
      <c r="J288" s="3">
        <v>435.98</v>
      </c>
      <c r="K288" s="3">
        <v>2027.93</v>
      </c>
      <c r="L288" s="7">
        <f t="shared" si="12"/>
        <v>2615.88</v>
      </c>
      <c r="M288" s="7">
        <f t="shared" si="13"/>
        <v>587.95000000000005</v>
      </c>
      <c r="N288" t="str">
        <f t="shared" si="14"/>
        <v>Medium</v>
      </c>
    </row>
    <row r="289" spans="1:14" x14ac:dyDescent="0.3">
      <c r="A289" s="4">
        <v>46313</v>
      </c>
      <c r="B289" s="5">
        <v>2026</v>
      </c>
      <c r="C289" s="5" t="s">
        <v>247</v>
      </c>
      <c r="D289" s="5" t="s">
        <v>280</v>
      </c>
      <c r="E289" s="5" t="s">
        <v>355</v>
      </c>
      <c r="F289" s="5" t="s">
        <v>356</v>
      </c>
      <c r="G289" s="5" t="s">
        <v>357</v>
      </c>
      <c r="H289" s="5" t="s">
        <v>39</v>
      </c>
      <c r="I289" s="5">
        <v>12</v>
      </c>
      <c r="J289" s="5">
        <v>229.95</v>
      </c>
      <c r="K289" s="5">
        <v>1782.04</v>
      </c>
      <c r="L289" s="7">
        <f t="shared" si="12"/>
        <v>2759.3999999999996</v>
      </c>
      <c r="M289" s="7">
        <f t="shared" si="13"/>
        <v>977.35999999999967</v>
      </c>
      <c r="N289" t="str">
        <f t="shared" si="14"/>
        <v>Medium</v>
      </c>
    </row>
    <row r="290" spans="1:14" x14ac:dyDescent="0.3">
      <c r="A290" s="2">
        <v>46183</v>
      </c>
      <c r="B290" s="3">
        <v>2026</v>
      </c>
      <c r="C290" s="3" t="s">
        <v>17</v>
      </c>
      <c r="D290" s="3" t="s">
        <v>205</v>
      </c>
      <c r="E290" s="3" t="s">
        <v>366</v>
      </c>
      <c r="F290" s="3" t="s">
        <v>367</v>
      </c>
      <c r="G290" s="3" t="s">
        <v>357</v>
      </c>
      <c r="H290" s="3" t="s">
        <v>39</v>
      </c>
      <c r="I290" s="3">
        <v>10</v>
      </c>
      <c r="J290" s="3">
        <v>322.77</v>
      </c>
      <c r="K290" s="3">
        <v>2632.17</v>
      </c>
      <c r="L290" s="7">
        <f t="shared" si="12"/>
        <v>3227.7</v>
      </c>
      <c r="M290" s="7">
        <f t="shared" si="13"/>
        <v>595.52999999999975</v>
      </c>
      <c r="N290" t="str">
        <f t="shared" si="14"/>
        <v>High</v>
      </c>
    </row>
    <row r="291" spans="1:14" x14ac:dyDescent="0.3">
      <c r="A291" s="4">
        <v>46373</v>
      </c>
      <c r="B291" s="5">
        <v>2026</v>
      </c>
      <c r="C291" s="5" t="s">
        <v>214</v>
      </c>
      <c r="D291" s="5" t="s">
        <v>368</v>
      </c>
      <c r="E291" s="5" t="s">
        <v>355</v>
      </c>
      <c r="F291" s="5" t="s">
        <v>356</v>
      </c>
      <c r="G291" s="5" t="s">
        <v>357</v>
      </c>
      <c r="H291" s="5" t="s">
        <v>16</v>
      </c>
      <c r="I291" s="5">
        <v>4</v>
      </c>
      <c r="J291" s="5">
        <v>278.69</v>
      </c>
      <c r="K291" s="5">
        <v>585.94000000000005</v>
      </c>
      <c r="L291" s="7">
        <f t="shared" si="12"/>
        <v>1114.76</v>
      </c>
      <c r="M291" s="7">
        <f t="shared" si="13"/>
        <v>528.81999999999994</v>
      </c>
      <c r="N291" t="str">
        <f t="shared" si="14"/>
        <v>Low</v>
      </c>
    </row>
    <row r="292" spans="1:14" x14ac:dyDescent="0.3">
      <c r="A292" s="2">
        <v>46331</v>
      </c>
      <c r="B292" s="3">
        <v>2026</v>
      </c>
      <c r="C292" s="3" t="s">
        <v>212</v>
      </c>
      <c r="D292" s="3" t="s">
        <v>362</v>
      </c>
      <c r="E292" s="3" t="s">
        <v>358</v>
      </c>
      <c r="F292" s="3" t="s">
        <v>359</v>
      </c>
      <c r="G292" s="3" t="s">
        <v>357</v>
      </c>
      <c r="H292" s="3" t="s">
        <v>28</v>
      </c>
      <c r="I292" s="3">
        <v>3</v>
      </c>
      <c r="J292" s="3">
        <v>233.66</v>
      </c>
      <c r="K292" s="3">
        <v>577.52</v>
      </c>
      <c r="L292" s="7">
        <f t="shared" si="12"/>
        <v>700.98</v>
      </c>
      <c r="M292" s="7">
        <f t="shared" si="13"/>
        <v>123.46000000000004</v>
      </c>
      <c r="N292" t="str">
        <f t="shared" si="14"/>
        <v>Low</v>
      </c>
    </row>
    <row r="293" spans="1:14" x14ac:dyDescent="0.3">
      <c r="A293" s="4">
        <v>46163</v>
      </c>
      <c r="B293" s="5">
        <v>2026</v>
      </c>
      <c r="C293" s="5" t="s">
        <v>253</v>
      </c>
      <c r="D293" s="5" t="s">
        <v>215</v>
      </c>
      <c r="E293" s="5" t="s">
        <v>355</v>
      </c>
      <c r="F293" s="5" t="s">
        <v>356</v>
      </c>
      <c r="G293" s="5" t="s">
        <v>357</v>
      </c>
      <c r="H293" s="5" t="s">
        <v>21</v>
      </c>
      <c r="I293" s="5">
        <v>20</v>
      </c>
      <c r="J293" s="5">
        <v>213.11</v>
      </c>
      <c r="K293" s="5">
        <v>3083.51</v>
      </c>
      <c r="L293" s="7">
        <f t="shared" si="12"/>
        <v>4262.2000000000007</v>
      </c>
      <c r="M293" s="7">
        <f t="shared" si="13"/>
        <v>1178.6900000000005</v>
      </c>
      <c r="N293" t="str">
        <f t="shared" si="14"/>
        <v>High</v>
      </c>
    </row>
    <row r="294" spans="1:14" x14ac:dyDescent="0.3">
      <c r="A294" s="2">
        <v>46063</v>
      </c>
      <c r="B294" s="3">
        <v>2026</v>
      </c>
      <c r="C294" s="3" t="s">
        <v>22</v>
      </c>
      <c r="D294" s="3" t="s">
        <v>369</v>
      </c>
      <c r="E294" s="3" t="s">
        <v>358</v>
      </c>
      <c r="F294" s="3" t="s">
        <v>359</v>
      </c>
      <c r="G294" s="3" t="s">
        <v>357</v>
      </c>
      <c r="H294" s="3" t="s">
        <v>28</v>
      </c>
      <c r="I294" s="3">
        <v>18</v>
      </c>
      <c r="J294" s="3">
        <v>32.869999999999997</v>
      </c>
      <c r="K294" s="3">
        <v>458.32</v>
      </c>
      <c r="L294" s="7">
        <f t="shared" si="12"/>
        <v>591.66</v>
      </c>
      <c r="M294" s="7">
        <f t="shared" si="13"/>
        <v>133.33999999999997</v>
      </c>
      <c r="N294" t="str">
        <f t="shared" si="14"/>
        <v>Low</v>
      </c>
    </row>
    <row r="295" spans="1:14" x14ac:dyDescent="0.3">
      <c r="A295" s="4">
        <v>46220</v>
      </c>
      <c r="B295" s="5">
        <v>2026</v>
      </c>
      <c r="C295" s="5" t="s">
        <v>61</v>
      </c>
      <c r="D295" s="5" t="s">
        <v>159</v>
      </c>
      <c r="E295" s="5" t="s">
        <v>355</v>
      </c>
      <c r="F295" s="5" t="s">
        <v>356</v>
      </c>
      <c r="G295" s="5" t="s">
        <v>357</v>
      </c>
      <c r="H295" s="5" t="s">
        <v>21</v>
      </c>
      <c r="I295" s="5">
        <v>17</v>
      </c>
      <c r="J295" s="5">
        <v>264.69</v>
      </c>
      <c r="K295" s="5">
        <v>3079.11</v>
      </c>
      <c r="L295" s="7">
        <f t="shared" si="12"/>
        <v>4499.7299999999996</v>
      </c>
      <c r="M295" s="7">
        <f t="shared" si="13"/>
        <v>1420.6199999999994</v>
      </c>
      <c r="N295" t="str">
        <f t="shared" si="14"/>
        <v>High</v>
      </c>
    </row>
    <row r="296" spans="1:14" x14ac:dyDescent="0.3">
      <c r="A296" s="2">
        <v>46356</v>
      </c>
      <c r="B296" s="3">
        <v>2026</v>
      </c>
      <c r="C296" s="3" t="s">
        <v>171</v>
      </c>
      <c r="D296" s="3" t="s">
        <v>283</v>
      </c>
      <c r="E296" s="3" t="s">
        <v>355</v>
      </c>
      <c r="F296" s="3" t="s">
        <v>356</v>
      </c>
      <c r="G296" s="3" t="s">
        <v>357</v>
      </c>
      <c r="H296" s="3" t="s">
        <v>21</v>
      </c>
      <c r="I296" s="3">
        <v>16</v>
      </c>
      <c r="J296" s="3">
        <v>273.33</v>
      </c>
      <c r="K296" s="3">
        <v>3184.32</v>
      </c>
      <c r="L296" s="7">
        <f t="shared" si="12"/>
        <v>4373.28</v>
      </c>
      <c r="M296" s="7">
        <f t="shared" si="13"/>
        <v>1188.9599999999996</v>
      </c>
      <c r="N296" t="str">
        <f t="shared" si="14"/>
        <v>High</v>
      </c>
    </row>
    <row r="297" spans="1:14" x14ac:dyDescent="0.3">
      <c r="A297" s="4">
        <v>46356</v>
      </c>
      <c r="B297" s="5">
        <v>2026</v>
      </c>
      <c r="C297" s="5" t="s">
        <v>66</v>
      </c>
      <c r="D297" s="5" t="s">
        <v>69</v>
      </c>
      <c r="E297" s="5" t="s">
        <v>355</v>
      </c>
      <c r="F297" s="5" t="s">
        <v>356</v>
      </c>
      <c r="G297" s="5" t="s">
        <v>357</v>
      </c>
      <c r="H297" s="5" t="s">
        <v>21</v>
      </c>
      <c r="I297" s="5">
        <v>10</v>
      </c>
      <c r="J297" s="5">
        <v>430.8</v>
      </c>
      <c r="K297" s="5">
        <v>2733.52</v>
      </c>
      <c r="L297" s="7">
        <f t="shared" si="12"/>
        <v>4308</v>
      </c>
      <c r="M297" s="7">
        <f t="shared" si="13"/>
        <v>1574.48</v>
      </c>
      <c r="N297" t="str">
        <f t="shared" si="14"/>
        <v>High</v>
      </c>
    </row>
    <row r="298" spans="1:14" x14ac:dyDescent="0.3">
      <c r="A298" s="2">
        <v>46161</v>
      </c>
      <c r="B298" s="3">
        <v>2026</v>
      </c>
      <c r="C298" s="3" t="s">
        <v>262</v>
      </c>
      <c r="D298" s="3" t="s">
        <v>261</v>
      </c>
      <c r="E298" s="3" t="s">
        <v>366</v>
      </c>
      <c r="F298" s="3" t="s">
        <v>367</v>
      </c>
      <c r="G298" s="3" t="s">
        <v>357</v>
      </c>
      <c r="H298" s="3" t="s">
        <v>16</v>
      </c>
      <c r="I298" s="3">
        <v>5</v>
      </c>
      <c r="J298" s="3">
        <v>51.84</v>
      </c>
      <c r="K298" s="3">
        <v>162.15</v>
      </c>
      <c r="L298" s="7">
        <f t="shared" si="12"/>
        <v>259.20000000000005</v>
      </c>
      <c r="M298" s="7">
        <f t="shared" si="13"/>
        <v>97.05000000000004</v>
      </c>
      <c r="N298" t="str">
        <f t="shared" si="14"/>
        <v>Low</v>
      </c>
    </row>
    <row r="299" spans="1:14" x14ac:dyDescent="0.3">
      <c r="A299" s="4">
        <v>46049</v>
      </c>
      <c r="B299" s="5">
        <v>2026</v>
      </c>
      <c r="C299" s="5" t="s">
        <v>86</v>
      </c>
      <c r="D299" s="5" t="s">
        <v>370</v>
      </c>
      <c r="E299" s="5" t="s">
        <v>358</v>
      </c>
      <c r="F299" s="5" t="s">
        <v>359</v>
      </c>
      <c r="G299" s="5" t="s">
        <v>357</v>
      </c>
      <c r="H299" s="5" t="s">
        <v>28</v>
      </c>
      <c r="I299" s="5">
        <v>16</v>
      </c>
      <c r="J299" s="5">
        <v>44.96</v>
      </c>
      <c r="K299" s="5">
        <v>549.46</v>
      </c>
      <c r="L299" s="7">
        <f t="shared" si="12"/>
        <v>719.36</v>
      </c>
      <c r="M299" s="7">
        <f t="shared" si="13"/>
        <v>169.89999999999998</v>
      </c>
      <c r="N299" t="str">
        <f t="shared" si="14"/>
        <v>Low</v>
      </c>
    </row>
    <row r="300" spans="1:14" x14ac:dyDescent="0.3">
      <c r="A300" s="2">
        <v>46259</v>
      </c>
      <c r="B300" s="3">
        <v>2026</v>
      </c>
      <c r="C300" s="3" t="s">
        <v>190</v>
      </c>
      <c r="D300" s="3" t="s">
        <v>246</v>
      </c>
      <c r="E300" s="3" t="s">
        <v>366</v>
      </c>
      <c r="F300" s="3" t="s">
        <v>367</v>
      </c>
      <c r="G300" s="3" t="s">
        <v>357</v>
      </c>
      <c r="H300" s="3" t="s">
        <v>28</v>
      </c>
      <c r="I300" s="3">
        <v>3</v>
      </c>
      <c r="J300" s="3">
        <v>146.63</v>
      </c>
      <c r="K300" s="3">
        <v>297.39</v>
      </c>
      <c r="L300" s="7">
        <f t="shared" si="12"/>
        <v>439.89</v>
      </c>
      <c r="M300" s="7">
        <f t="shared" si="13"/>
        <v>142.5</v>
      </c>
      <c r="N300" t="str">
        <f t="shared" si="14"/>
        <v>Low</v>
      </c>
    </row>
    <row r="301" spans="1:14" x14ac:dyDescent="0.3">
      <c r="A301" s="4">
        <v>46107</v>
      </c>
      <c r="B301" s="5">
        <v>2026</v>
      </c>
      <c r="C301" s="5" t="s">
        <v>151</v>
      </c>
      <c r="D301" s="5" t="s">
        <v>49</v>
      </c>
      <c r="E301" s="5" t="s">
        <v>358</v>
      </c>
      <c r="F301" s="5" t="s">
        <v>359</v>
      </c>
      <c r="G301" s="5" t="s">
        <v>357</v>
      </c>
      <c r="H301" s="5" t="s">
        <v>28</v>
      </c>
      <c r="I301" s="5">
        <v>11</v>
      </c>
      <c r="J301" s="5">
        <v>235.87</v>
      </c>
      <c r="K301" s="5">
        <v>1749.93</v>
      </c>
      <c r="L301" s="7">
        <f t="shared" si="12"/>
        <v>2594.5700000000002</v>
      </c>
      <c r="M301" s="7">
        <f t="shared" si="13"/>
        <v>844.6400000000001</v>
      </c>
      <c r="N301" t="str">
        <f t="shared" si="14"/>
        <v>Medium</v>
      </c>
    </row>
    <row r="302" spans="1:14" x14ac:dyDescent="0.3">
      <c r="A302" s="2">
        <v>46133</v>
      </c>
      <c r="B302" s="3">
        <v>2026</v>
      </c>
      <c r="C302" s="3" t="s">
        <v>29</v>
      </c>
      <c r="D302" s="3" t="s">
        <v>179</v>
      </c>
      <c r="E302" s="3" t="s">
        <v>366</v>
      </c>
      <c r="F302" s="3" t="s">
        <v>367</v>
      </c>
      <c r="G302" s="3" t="s">
        <v>357</v>
      </c>
      <c r="H302" s="3" t="s">
        <v>28</v>
      </c>
      <c r="I302" s="3">
        <v>13</v>
      </c>
      <c r="J302" s="3">
        <v>191.28</v>
      </c>
      <c r="K302" s="3">
        <v>1634.68</v>
      </c>
      <c r="L302" s="7">
        <f t="shared" si="12"/>
        <v>2486.64</v>
      </c>
      <c r="M302" s="7">
        <f t="shared" si="13"/>
        <v>851.95999999999981</v>
      </c>
      <c r="N302" t="str">
        <f t="shared" si="14"/>
        <v>Medium</v>
      </c>
    </row>
    <row r="303" spans="1:14" x14ac:dyDescent="0.3">
      <c r="A303" s="4">
        <v>46158</v>
      </c>
      <c r="B303" s="5">
        <v>2026</v>
      </c>
      <c r="C303" s="5" t="s">
        <v>110</v>
      </c>
      <c r="D303" s="5" t="s">
        <v>235</v>
      </c>
      <c r="E303" s="5" t="s">
        <v>363</v>
      </c>
      <c r="F303" s="5" t="s">
        <v>364</v>
      </c>
      <c r="G303" s="5" t="s">
        <v>357</v>
      </c>
      <c r="H303" s="5" t="s">
        <v>39</v>
      </c>
      <c r="I303" s="5">
        <v>8</v>
      </c>
      <c r="J303" s="5">
        <v>293.33999999999997</v>
      </c>
      <c r="K303" s="5">
        <v>1791.73</v>
      </c>
      <c r="L303" s="7">
        <f t="shared" si="12"/>
        <v>2346.7199999999998</v>
      </c>
      <c r="M303" s="7">
        <f t="shared" si="13"/>
        <v>554.98999999999978</v>
      </c>
      <c r="N303" t="str">
        <f t="shared" si="14"/>
        <v>Medium</v>
      </c>
    </row>
    <row r="304" spans="1:14" x14ac:dyDescent="0.3">
      <c r="A304" s="2">
        <v>46187</v>
      </c>
      <c r="B304" s="3">
        <v>2026</v>
      </c>
      <c r="C304" s="3" t="s">
        <v>276</v>
      </c>
      <c r="D304" s="3" t="s">
        <v>75</v>
      </c>
      <c r="E304" s="3" t="s">
        <v>363</v>
      </c>
      <c r="F304" s="3" t="s">
        <v>364</v>
      </c>
      <c r="G304" s="3" t="s">
        <v>357</v>
      </c>
      <c r="H304" s="3" t="s">
        <v>39</v>
      </c>
      <c r="I304" s="3">
        <v>8</v>
      </c>
      <c r="J304" s="3">
        <v>137.77000000000001</v>
      </c>
      <c r="K304" s="3">
        <v>865.42</v>
      </c>
      <c r="L304" s="7">
        <f t="shared" si="12"/>
        <v>1102.1600000000001</v>
      </c>
      <c r="M304" s="7">
        <f t="shared" si="13"/>
        <v>236.74000000000012</v>
      </c>
      <c r="N304" t="str">
        <f t="shared" si="14"/>
        <v>Low</v>
      </c>
    </row>
    <row r="305" spans="1:14" x14ac:dyDescent="0.3">
      <c r="A305" s="4">
        <v>46335</v>
      </c>
      <c r="B305" s="5">
        <v>2026</v>
      </c>
      <c r="C305" s="5" t="s">
        <v>37</v>
      </c>
      <c r="D305" s="5" t="s">
        <v>315</v>
      </c>
      <c r="E305" s="5" t="s">
        <v>355</v>
      </c>
      <c r="F305" s="5" t="s">
        <v>356</v>
      </c>
      <c r="G305" s="5" t="s">
        <v>357</v>
      </c>
      <c r="H305" s="5" t="s">
        <v>39</v>
      </c>
      <c r="I305" s="5">
        <v>7</v>
      </c>
      <c r="J305" s="5">
        <v>336.86</v>
      </c>
      <c r="K305" s="5">
        <v>1327.76</v>
      </c>
      <c r="L305" s="7">
        <f t="shared" si="12"/>
        <v>2358.02</v>
      </c>
      <c r="M305" s="7">
        <f t="shared" si="13"/>
        <v>1030.26</v>
      </c>
      <c r="N305" t="str">
        <f t="shared" si="14"/>
        <v>Medium</v>
      </c>
    </row>
    <row r="306" spans="1:14" x14ac:dyDescent="0.3">
      <c r="A306" s="2">
        <v>46327</v>
      </c>
      <c r="B306" s="3">
        <v>2026</v>
      </c>
      <c r="C306" s="3" t="s">
        <v>248</v>
      </c>
      <c r="D306" s="3" t="s">
        <v>371</v>
      </c>
      <c r="E306" s="3" t="s">
        <v>363</v>
      </c>
      <c r="F306" s="3" t="s">
        <v>364</v>
      </c>
      <c r="G306" s="3" t="s">
        <v>357</v>
      </c>
      <c r="H306" s="3" t="s">
        <v>16</v>
      </c>
      <c r="I306" s="3">
        <v>6</v>
      </c>
      <c r="J306" s="3">
        <v>452.93</v>
      </c>
      <c r="K306" s="3">
        <v>1660.7</v>
      </c>
      <c r="L306" s="7">
        <f t="shared" si="12"/>
        <v>2717.58</v>
      </c>
      <c r="M306" s="7">
        <f t="shared" si="13"/>
        <v>1056.8799999999999</v>
      </c>
      <c r="N306" t="str">
        <f t="shared" si="14"/>
        <v>Medium</v>
      </c>
    </row>
    <row r="307" spans="1:14" x14ac:dyDescent="0.3">
      <c r="A307" s="4">
        <v>46080</v>
      </c>
      <c r="B307" s="5">
        <v>2026</v>
      </c>
      <c r="C307" s="5" t="s">
        <v>372</v>
      </c>
      <c r="D307" s="5" t="s">
        <v>373</v>
      </c>
      <c r="E307" s="5" t="s">
        <v>355</v>
      </c>
      <c r="F307" s="5" t="s">
        <v>356</v>
      </c>
      <c r="G307" s="5" t="s">
        <v>357</v>
      </c>
      <c r="H307" s="5" t="s">
        <v>21</v>
      </c>
      <c r="I307" s="5">
        <v>15</v>
      </c>
      <c r="J307" s="5">
        <v>267.85000000000002</v>
      </c>
      <c r="K307" s="5">
        <v>2735.93</v>
      </c>
      <c r="L307" s="7">
        <f t="shared" si="12"/>
        <v>4017.7500000000005</v>
      </c>
      <c r="M307" s="7">
        <f t="shared" si="13"/>
        <v>1281.8200000000006</v>
      </c>
      <c r="N307" t="str">
        <f t="shared" si="14"/>
        <v>High</v>
      </c>
    </row>
    <row r="308" spans="1:14" x14ac:dyDescent="0.3">
      <c r="A308" s="2">
        <v>46296</v>
      </c>
      <c r="B308" s="3">
        <v>2026</v>
      </c>
      <c r="C308" s="3" t="s">
        <v>174</v>
      </c>
      <c r="D308" s="3" t="s">
        <v>374</v>
      </c>
      <c r="E308" s="3" t="s">
        <v>358</v>
      </c>
      <c r="F308" s="3" t="s">
        <v>359</v>
      </c>
      <c r="G308" s="3" t="s">
        <v>357</v>
      </c>
      <c r="H308" s="3" t="s">
        <v>16</v>
      </c>
      <c r="I308" s="3">
        <v>9</v>
      </c>
      <c r="J308" s="3">
        <v>426.54</v>
      </c>
      <c r="K308" s="3">
        <v>2239.88</v>
      </c>
      <c r="L308" s="7">
        <f t="shared" si="12"/>
        <v>3838.86</v>
      </c>
      <c r="M308" s="7">
        <f t="shared" si="13"/>
        <v>1598.98</v>
      </c>
      <c r="N308" t="str">
        <f t="shared" si="14"/>
        <v>High</v>
      </c>
    </row>
    <row r="309" spans="1:14" x14ac:dyDescent="0.3">
      <c r="A309" s="4">
        <v>46123</v>
      </c>
      <c r="B309" s="5">
        <v>2026</v>
      </c>
      <c r="C309" s="5" t="s">
        <v>242</v>
      </c>
      <c r="D309" s="5" t="s">
        <v>285</v>
      </c>
      <c r="E309" s="5" t="s">
        <v>358</v>
      </c>
      <c r="F309" s="5" t="s">
        <v>359</v>
      </c>
      <c r="G309" s="5" t="s">
        <v>357</v>
      </c>
      <c r="H309" s="5" t="s">
        <v>16</v>
      </c>
      <c r="I309" s="5">
        <v>6</v>
      </c>
      <c r="J309" s="5">
        <v>207.84</v>
      </c>
      <c r="K309" s="5">
        <v>677.26</v>
      </c>
      <c r="L309" s="7">
        <f t="shared" si="12"/>
        <v>1247.04</v>
      </c>
      <c r="M309" s="7">
        <f t="shared" si="13"/>
        <v>569.78</v>
      </c>
      <c r="N309" t="str">
        <f t="shared" si="14"/>
        <v>Low</v>
      </c>
    </row>
    <row r="310" spans="1:14" x14ac:dyDescent="0.3">
      <c r="A310" s="2">
        <v>46224</v>
      </c>
      <c r="B310" s="3">
        <v>2026</v>
      </c>
      <c r="C310" s="3" t="s">
        <v>78</v>
      </c>
      <c r="D310" s="3" t="s">
        <v>159</v>
      </c>
      <c r="E310" s="3" t="s">
        <v>358</v>
      </c>
      <c r="F310" s="3" t="s">
        <v>359</v>
      </c>
      <c r="G310" s="3" t="s">
        <v>357</v>
      </c>
      <c r="H310" s="3" t="s">
        <v>21</v>
      </c>
      <c r="I310" s="3">
        <v>3</v>
      </c>
      <c r="J310" s="3">
        <v>45.67</v>
      </c>
      <c r="K310" s="3">
        <v>93.69</v>
      </c>
      <c r="L310" s="7">
        <f t="shared" si="12"/>
        <v>137.01</v>
      </c>
      <c r="M310" s="7">
        <f t="shared" si="13"/>
        <v>43.319999999999993</v>
      </c>
      <c r="N310" t="str">
        <f t="shared" si="14"/>
        <v>Low</v>
      </c>
    </row>
    <row r="311" spans="1:14" x14ac:dyDescent="0.3">
      <c r="A311" s="4">
        <v>46024</v>
      </c>
      <c r="B311" s="5">
        <v>2026</v>
      </c>
      <c r="C311" s="5" t="s">
        <v>163</v>
      </c>
      <c r="D311" s="5" t="s">
        <v>166</v>
      </c>
      <c r="E311" s="5" t="s">
        <v>375</v>
      </c>
      <c r="F311" s="5" t="s">
        <v>376</v>
      </c>
      <c r="G311" s="5" t="s">
        <v>377</v>
      </c>
      <c r="H311" s="5" t="s">
        <v>21</v>
      </c>
      <c r="I311" s="5">
        <v>2</v>
      </c>
      <c r="J311" s="5">
        <v>73.33</v>
      </c>
      <c r="K311" s="5">
        <v>119.22</v>
      </c>
      <c r="L311" s="7">
        <f t="shared" si="12"/>
        <v>146.66</v>
      </c>
      <c r="M311" s="7">
        <f t="shared" si="13"/>
        <v>27.439999999999998</v>
      </c>
      <c r="N311" t="str">
        <f t="shared" si="14"/>
        <v>Low</v>
      </c>
    </row>
    <row r="312" spans="1:14" x14ac:dyDescent="0.3">
      <c r="A312" s="2">
        <v>46240</v>
      </c>
      <c r="B312" s="3">
        <v>2026</v>
      </c>
      <c r="C312" s="3" t="s">
        <v>230</v>
      </c>
      <c r="D312" s="3" t="s">
        <v>185</v>
      </c>
      <c r="E312" s="3" t="s">
        <v>375</v>
      </c>
      <c r="F312" s="3" t="s">
        <v>376</v>
      </c>
      <c r="G312" s="3" t="s">
        <v>377</v>
      </c>
      <c r="H312" s="3" t="s">
        <v>28</v>
      </c>
      <c r="I312" s="3">
        <v>3</v>
      </c>
      <c r="J312" s="3">
        <v>221.06</v>
      </c>
      <c r="K312" s="3">
        <v>485.14</v>
      </c>
      <c r="L312" s="7">
        <f t="shared" si="12"/>
        <v>663.18000000000006</v>
      </c>
      <c r="M312" s="7">
        <f t="shared" si="13"/>
        <v>178.04000000000008</v>
      </c>
      <c r="N312" t="str">
        <f t="shared" si="14"/>
        <v>Low</v>
      </c>
    </row>
    <row r="313" spans="1:14" x14ac:dyDescent="0.3">
      <c r="A313" s="4">
        <v>46245</v>
      </c>
      <c r="B313" s="5">
        <v>2026</v>
      </c>
      <c r="C313" s="5" t="s">
        <v>89</v>
      </c>
      <c r="D313" s="5" t="s">
        <v>378</v>
      </c>
      <c r="E313" s="5" t="s">
        <v>379</v>
      </c>
      <c r="F313" s="5" t="s">
        <v>380</v>
      </c>
      <c r="G313" s="5" t="s">
        <v>377</v>
      </c>
      <c r="H313" s="5" t="s">
        <v>21</v>
      </c>
      <c r="I313" s="5">
        <v>19</v>
      </c>
      <c r="J313" s="5">
        <v>235.83</v>
      </c>
      <c r="K313" s="5">
        <v>2978.8</v>
      </c>
      <c r="L313" s="7">
        <f t="shared" si="12"/>
        <v>4480.7700000000004</v>
      </c>
      <c r="M313" s="7">
        <f t="shared" si="13"/>
        <v>1501.9700000000003</v>
      </c>
      <c r="N313" t="str">
        <f t="shared" si="14"/>
        <v>High</v>
      </c>
    </row>
    <row r="314" spans="1:14" x14ac:dyDescent="0.3">
      <c r="A314" s="2">
        <v>46300</v>
      </c>
      <c r="B314" s="3">
        <v>2026</v>
      </c>
      <c r="C314" s="3" t="s">
        <v>163</v>
      </c>
      <c r="D314" s="3" t="s">
        <v>381</v>
      </c>
      <c r="E314" s="3" t="s">
        <v>382</v>
      </c>
      <c r="F314" s="3" t="s">
        <v>383</v>
      </c>
      <c r="G314" s="3" t="s">
        <v>377</v>
      </c>
      <c r="H314" s="3" t="s">
        <v>28</v>
      </c>
      <c r="I314" s="3">
        <v>17</v>
      </c>
      <c r="J314" s="3">
        <v>151.05000000000001</v>
      </c>
      <c r="K314" s="3">
        <v>1716.85</v>
      </c>
      <c r="L314" s="7">
        <f t="shared" si="12"/>
        <v>2567.8500000000004</v>
      </c>
      <c r="M314" s="7">
        <f t="shared" si="13"/>
        <v>851.00000000000045</v>
      </c>
      <c r="N314" t="str">
        <f t="shared" si="14"/>
        <v>Medium</v>
      </c>
    </row>
    <row r="315" spans="1:14" x14ac:dyDescent="0.3">
      <c r="A315" s="4">
        <v>46217</v>
      </c>
      <c r="B315" s="5">
        <v>2026</v>
      </c>
      <c r="C315" s="5" t="s">
        <v>247</v>
      </c>
      <c r="D315" s="5" t="s">
        <v>79</v>
      </c>
      <c r="E315" s="5" t="s">
        <v>379</v>
      </c>
      <c r="F315" s="5" t="s">
        <v>380</v>
      </c>
      <c r="G315" s="5" t="s">
        <v>377</v>
      </c>
      <c r="H315" s="5" t="s">
        <v>21</v>
      </c>
      <c r="I315" s="5">
        <v>5</v>
      </c>
      <c r="J315" s="5">
        <v>44.07</v>
      </c>
      <c r="K315" s="5">
        <v>153.94999999999999</v>
      </c>
      <c r="L315" s="7">
        <f t="shared" si="12"/>
        <v>220.35</v>
      </c>
      <c r="M315" s="7">
        <f t="shared" si="13"/>
        <v>66.400000000000006</v>
      </c>
      <c r="N315" t="str">
        <f t="shared" si="14"/>
        <v>Low</v>
      </c>
    </row>
    <row r="316" spans="1:14" x14ac:dyDescent="0.3">
      <c r="A316" s="2">
        <v>46377</v>
      </c>
      <c r="B316" s="3">
        <v>2026</v>
      </c>
      <c r="C316" s="3" t="s">
        <v>226</v>
      </c>
      <c r="D316" s="3" t="s">
        <v>267</v>
      </c>
      <c r="E316" s="3" t="s">
        <v>375</v>
      </c>
      <c r="F316" s="3" t="s">
        <v>376</v>
      </c>
      <c r="G316" s="3" t="s">
        <v>377</v>
      </c>
      <c r="H316" s="3" t="s">
        <v>21</v>
      </c>
      <c r="I316" s="3">
        <v>14</v>
      </c>
      <c r="J316" s="3">
        <v>118.82</v>
      </c>
      <c r="K316" s="3">
        <v>857.4</v>
      </c>
      <c r="L316" s="7">
        <f t="shared" si="12"/>
        <v>1663.48</v>
      </c>
      <c r="M316" s="7">
        <f t="shared" si="13"/>
        <v>806.08</v>
      </c>
      <c r="N316" t="str">
        <f t="shared" si="14"/>
        <v>Medium</v>
      </c>
    </row>
    <row r="317" spans="1:14" x14ac:dyDescent="0.3">
      <c r="A317" s="4">
        <v>46275</v>
      </c>
      <c r="B317" s="5">
        <v>2026</v>
      </c>
      <c r="C317" s="5" t="s">
        <v>248</v>
      </c>
      <c r="D317" s="5" t="s">
        <v>384</v>
      </c>
      <c r="E317" s="5" t="s">
        <v>385</v>
      </c>
      <c r="F317" s="5" t="s">
        <v>386</v>
      </c>
      <c r="G317" s="5" t="s">
        <v>377</v>
      </c>
      <c r="H317" s="5" t="s">
        <v>16</v>
      </c>
      <c r="I317" s="5">
        <v>15</v>
      </c>
      <c r="J317" s="5">
        <v>52.92</v>
      </c>
      <c r="K317" s="5">
        <v>441.41</v>
      </c>
      <c r="L317" s="7">
        <f t="shared" si="12"/>
        <v>793.80000000000007</v>
      </c>
      <c r="M317" s="7">
        <f t="shared" si="13"/>
        <v>352.39000000000004</v>
      </c>
      <c r="N317" t="str">
        <f t="shared" si="14"/>
        <v>Low</v>
      </c>
    </row>
    <row r="318" spans="1:14" x14ac:dyDescent="0.3">
      <c r="A318" s="2">
        <v>46385</v>
      </c>
      <c r="B318" s="3">
        <v>2026</v>
      </c>
      <c r="C318" s="3" t="s">
        <v>57</v>
      </c>
      <c r="D318" s="3" t="s">
        <v>77</v>
      </c>
      <c r="E318" s="3" t="s">
        <v>387</v>
      </c>
      <c r="F318" s="3" t="s">
        <v>388</v>
      </c>
      <c r="G318" s="3" t="s">
        <v>377</v>
      </c>
      <c r="H318" s="3" t="s">
        <v>21</v>
      </c>
      <c r="I318" s="3">
        <v>1</v>
      </c>
      <c r="J318" s="3">
        <v>295.5</v>
      </c>
      <c r="K318" s="3">
        <v>208.4</v>
      </c>
      <c r="L318" s="7">
        <f t="shared" si="12"/>
        <v>295.5</v>
      </c>
      <c r="M318" s="7">
        <f t="shared" si="13"/>
        <v>87.1</v>
      </c>
      <c r="N318" t="str">
        <f t="shared" si="14"/>
        <v>Low</v>
      </c>
    </row>
    <row r="319" spans="1:14" x14ac:dyDescent="0.3">
      <c r="A319" s="4">
        <v>46364</v>
      </c>
      <c r="B319" s="5">
        <v>2026</v>
      </c>
      <c r="C319" s="5" t="s">
        <v>33</v>
      </c>
      <c r="D319" s="5" t="s">
        <v>389</v>
      </c>
      <c r="E319" s="5" t="s">
        <v>390</v>
      </c>
      <c r="F319" s="5" t="s">
        <v>391</v>
      </c>
      <c r="G319" s="5" t="s">
        <v>377</v>
      </c>
      <c r="H319" s="5" t="s">
        <v>16</v>
      </c>
      <c r="I319" s="5">
        <v>1</v>
      </c>
      <c r="J319" s="5">
        <v>451.39</v>
      </c>
      <c r="K319" s="5">
        <v>312.98</v>
      </c>
      <c r="L319" s="7">
        <f t="shared" si="12"/>
        <v>451.39</v>
      </c>
      <c r="M319" s="7">
        <f t="shared" si="13"/>
        <v>138.40999999999997</v>
      </c>
      <c r="N319" t="str">
        <f t="shared" si="14"/>
        <v>Low</v>
      </c>
    </row>
    <row r="320" spans="1:14" x14ac:dyDescent="0.3">
      <c r="A320" s="2">
        <v>46248</v>
      </c>
      <c r="B320" s="3">
        <v>2026</v>
      </c>
      <c r="C320" s="3" t="s">
        <v>214</v>
      </c>
      <c r="D320" s="3" t="s">
        <v>166</v>
      </c>
      <c r="E320" s="3" t="s">
        <v>382</v>
      </c>
      <c r="F320" s="3" t="s">
        <v>383</v>
      </c>
      <c r="G320" s="3" t="s">
        <v>377</v>
      </c>
      <c r="H320" s="3" t="s">
        <v>28</v>
      </c>
      <c r="I320" s="3">
        <v>9</v>
      </c>
      <c r="J320" s="3">
        <v>449.64</v>
      </c>
      <c r="K320" s="3">
        <v>2589.48</v>
      </c>
      <c r="L320" s="7">
        <f t="shared" si="12"/>
        <v>4046.7599999999998</v>
      </c>
      <c r="M320" s="7">
        <f t="shared" si="13"/>
        <v>1457.2799999999997</v>
      </c>
      <c r="N320" t="str">
        <f t="shared" si="14"/>
        <v>High</v>
      </c>
    </row>
    <row r="321" spans="1:14" x14ac:dyDescent="0.3">
      <c r="A321" s="4">
        <v>46260</v>
      </c>
      <c r="B321" s="5">
        <v>2026</v>
      </c>
      <c r="C321" s="5" t="s">
        <v>300</v>
      </c>
      <c r="D321" s="5" t="s">
        <v>368</v>
      </c>
      <c r="E321" s="5" t="s">
        <v>387</v>
      </c>
      <c r="F321" s="5" t="s">
        <v>388</v>
      </c>
      <c r="G321" s="5" t="s">
        <v>377</v>
      </c>
      <c r="H321" s="5" t="s">
        <v>16</v>
      </c>
      <c r="I321" s="5">
        <v>13</v>
      </c>
      <c r="J321" s="5">
        <v>56.03</v>
      </c>
      <c r="K321" s="5">
        <v>551.46</v>
      </c>
      <c r="L321" s="7">
        <f t="shared" si="12"/>
        <v>728.39</v>
      </c>
      <c r="M321" s="7">
        <f t="shared" si="13"/>
        <v>176.92999999999995</v>
      </c>
      <c r="N321" t="str">
        <f t="shared" si="14"/>
        <v>Low</v>
      </c>
    </row>
    <row r="322" spans="1:14" x14ac:dyDescent="0.3">
      <c r="A322" s="2">
        <v>46263</v>
      </c>
      <c r="B322" s="3">
        <v>2026</v>
      </c>
      <c r="C322" s="3" t="s">
        <v>11</v>
      </c>
      <c r="D322" s="3" t="s">
        <v>392</v>
      </c>
      <c r="E322" s="3" t="s">
        <v>387</v>
      </c>
      <c r="F322" s="3" t="s">
        <v>388</v>
      </c>
      <c r="G322" s="3" t="s">
        <v>377</v>
      </c>
      <c r="H322" s="3" t="s">
        <v>39</v>
      </c>
      <c r="I322" s="3">
        <v>15</v>
      </c>
      <c r="J322" s="3">
        <v>236.93</v>
      </c>
      <c r="K322" s="3">
        <v>2668.48</v>
      </c>
      <c r="L322" s="7">
        <f t="shared" si="12"/>
        <v>3553.9500000000003</v>
      </c>
      <c r="M322" s="7">
        <f t="shared" si="13"/>
        <v>885.47000000000025</v>
      </c>
      <c r="N322" t="str">
        <f t="shared" si="14"/>
        <v>High</v>
      </c>
    </row>
    <row r="323" spans="1:14" x14ac:dyDescent="0.3">
      <c r="A323" s="4">
        <v>46196</v>
      </c>
      <c r="B323" s="5">
        <v>2026</v>
      </c>
      <c r="C323" s="5" t="s">
        <v>66</v>
      </c>
      <c r="D323" s="5" t="s">
        <v>147</v>
      </c>
      <c r="E323" s="5" t="s">
        <v>393</v>
      </c>
      <c r="F323" s="5" t="s">
        <v>394</v>
      </c>
      <c r="G323" s="5" t="s">
        <v>377</v>
      </c>
      <c r="H323" s="5" t="s">
        <v>28</v>
      </c>
      <c r="I323" s="5">
        <v>6</v>
      </c>
      <c r="J323" s="5">
        <v>322.10000000000002</v>
      </c>
      <c r="K323" s="5">
        <v>1229.6600000000001</v>
      </c>
      <c r="L323" s="7">
        <f t="shared" ref="L323:L386" si="15">I323*J323</f>
        <v>1932.6000000000001</v>
      </c>
      <c r="M323" s="7">
        <f t="shared" ref="M323:M386" si="16">L323-K323</f>
        <v>702.94</v>
      </c>
      <c r="N323" t="str">
        <f t="shared" ref="N323:N386" si="17">IF(L323&gt;=3000,"High",IF(L323&gt;=1500,"Medium","Low"))</f>
        <v>Medium</v>
      </c>
    </row>
    <row r="324" spans="1:14" x14ac:dyDescent="0.3">
      <c r="A324" s="2">
        <v>46153</v>
      </c>
      <c r="B324" s="3">
        <v>2026</v>
      </c>
      <c r="C324" s="3" t="s">
        <v>253</v>
      </c>
      <c r="D324" s="3" t="s">
        <v>208</v>
      </c>
      <c r="E324" s="3" t="s">
        <v>382</v>
      </c>
      <c r="F324" s="3" t="s">
        <v>383</v>
      </c>
      <c r="G324" s="3" t="s">
        <v>377</v>
      </c>
      <c r="H324" s="3" t="s">
        <v>39</v>
      </c>
      <c r="I324" s="3">
        <v>4</v>
      </c>
      <c r="J324" s="3">
        <v>197.72</v>
      </c>
      <c r="K324" s="3">
        <v>478.36</v>
      </c>
      <c r="L324" s="7">
        <f t="shared" si="15"/>
        <v>790.88</v>
      </c>
      <c r="M324" s="7">
        <f t="shared" si="16"/>
        <v>312.52</v>
      </c>
      <c r="N324" t="str">
        <f t="shared" si="17"/>
        <v>Low</v>
      </c>
    </row>
    <row r="325" spans="1:14" x14ac:dyDescent="0.3">
      <c r="A325" s="4">
        <v>46109</v>
      </c>
      <c r="B325" s="5">
        <v>2026</v>
      </c>
      <c r="C325" s="5" t="s">
        <v>70</v>
      </c>
      <c r="D325" s="5" t="s">
        <v>203</v>
      </c>
      <c r="E325" s="5" t="s">
        <v>382</v>
      </c>
      <c r="F325" s="5" t="s">
        <v>383</v>
      </c>
      <c r="G325" s="5" t="s">
        <v>377</v>
      </c>
      <c r="H325" s="5" t="s">
        <v>16</v>
      </c>
      <c r="I325" s="5">
        <v>3</v>
      </c>
      <c r="J325" s="5">
        <v>65.13</v>
      </c>
      <c r="K325" s="5">
        <v>153.35</v>
      </c>
      <c r="L325" s="7">
        <f t="shared" si="15"/>
        <v>195.39</v>
      </c>
      <c r="M325" s="7">
        <f t="shared" si="16"/>
        <v>42.039999999999992</v>
      </c>
      <c r="N325" t="str">
        <f t="shared" si="17"/>
        <v>Low</v>
      </c>
    </row>
    <row r="326" spans="1:14" x14ac:dyDescent="0.3">
      <c r="A326" s="2">
        <v>46371</v>
      </c>
      <c r="B326" s="3">
        <v>2026</v>
      </c>
      <c r="C326" s="3" t="s">
        <v>61</v>
      </c>
      <c r="D326" s="3" t="s">
        <v>93</v>
      </c>
      <c r="E326" s="3" t="s">
        <v>393</v>
      </c>
      <c r="F326" s="3" t="s">
        <v>394</v>
      </c>
      <c r="G326" s="3" t="s">
        <v>377</v>
      </c>
      <c r="H326" s="3" t="s">
        <v>21</v>
      </c>
      <c r="I326" s="3">
        <v>3</v>
      </c>
      <c r="J326" s="3">
        <v>102.24</v>
      </c>
      <c r="K326" s="3">
        <v>177.14</v>
      </c>
      <c r="L326" s="7">
        <f t="shared" si="15"/>
        <v>306.71999999999997</v>
      </c>
      <c r="M326" s="7">
        <f t="shared" si="16"/>
        <v>129.57999999999998</v>
      </c>
      <c r="N326" t="str">
        <f t="shared" si="17"/>
        <v>Low</v>
      </c>
    </row>
    <row r="327" spans="1:14" x14ac:dyDescent="0.3">
      <c r="A327" s="4">
        <v>46040</v>
      </c>
      <c r="B327" s="5">
        <v>2026</v>
      </c>
      <c r="C327" s="5" t="s">
        <v>29</v>
      </c>
      <c r="D327" s="5" t="s">
        <v>213</v>
      </c>
      <c r="E327" s="5" t="s">
        <v>395</v>
      </c>
      <c r="F327" s="5" t="s">
        <v>396</v>
      </c>
      <c r="G327" s="5" t="s">
        <v>377</v>
      </c>
      <c r="H327" s="5" t="s">
        <v>28</v>
      </c>
      <c r="I327" s="5">
        <v>15</v>
      </c>
      <c r="J327" s="5">
        <v>224.53</v>
      </c>
      <c r="K327" s="5">
        <v>2022.54</v>
      </c>
      <c r="L327" s="7">
        <f t="shared" si="15"/>
        <v>3367.95</v>
      </c>
      <c r="M327" s="7">
        <f t="shared" si="16"/>
        <v>1345.4099999999999</v>
      </c>
      <c r="N327" t="str">
        <f t="shared" si="17"/>
        <v>High</v>
      </c>
    </row>
    <row r="328" spans="1:14" x14ac:dyDescent="0.3">
      <c r="A328" s="2">
        <v>46138</v>
      </c>
      <c r="B328" s="3">
        <v>2026</v>
      </c>
      <c r="C328" s="3" t="s">
        <v>50</v>
      </c>
      <c r="D328" s="3" t="s">
        <v>350</v>
      </c>
      <c r="E328" s="3" t="s">
        <v>379</v>
      </c>
      <c r="F328" s="3" t="s">
        <v>380</v>
      </c>
      <c r="G328" s="3" t="s">
        <v>377</v>
      </c>
      <c r="H328" s="3" t="s">
        <v>16</v>
      </c>
      <c r="I328" s="3">
        <v>9</v>
      </c>
      <c r="J328" s="3">
        <v>305.23</v>
      </c>
      <c r="K328" s="3">
        <v>1991.26</v>
      </c>
      <c r="L328" s="7">
        <f t="shared" si="15"/>
        <v>2747.07</v>
      </c>
      <c r="M328" s="7">
        <f t="shared" si="16"/>
        <v>755.81000000000017</v>
      </c>
      <c r="N328" t="str">
        <f t="shared" si="17"/>
        <v>Medium</v>
      </c>
    </row>
    <row r="329" spans="1:14" x14ac:dyDescent="0.3">
      <c r="A329" s="4">
        <v>46256</v>
      </c>
      <c r="B329" s="5">
        <v>2026</v>
      </c>
      <c r="C329" s="5" t="s">
        <v>298</v>
      </c>
      <c r="D329" s="5" t="s">
        <v>397</v>
      </c>
      <c r="E329" s="5" t="s">
        <v>398</v>
      </c>
      <c r="F329" s="5" t="s">
        <v>399</v>
      </c>
      <c r="G329" s="5" t="s">
        <v>377</v>
      </c>
      <c r="H329" s="5" t="s">
        <v>39</v>
      </c>
      <c r="I329" s="5">
        <v>18</v>
      </c>
      <c r="J329" s="5">
        <v>90.62</v>
      </c>
      <c r="K329" s="5">
        <v>1105.8800000000001</v>
      </c>
      <c r="L329" s="7">
        <f t="shared" si="15"/>
        <v>1631.16</v>
      </c>
      <c r="M329" s="7">
        <f t="shared" si="16"/>
        <v>525.28</v>
      </c>
      <c r="N329" t="str">
        <f t="shared" si="17"/>
        <v>Medium</v>
      </c>
    </row>
    <row r="330" spans="1:14" x14ac:dyDescent="0.3">
      <c r="A330" s="2">
        <v>46371</v>
      </c>
      <c r="B330" s="3">
        <v>2026</v>
      </c>
      <c r="C330" s="3" t="s">
        <v>78</v>
      </c>
      <c r="D330" s="3" t="s">
        <v>400</v>
      </c>
      <c r="E330" s="3" t="s">
        <v>387</v>
      </c>
      <c r="F330" s="3" t="s">
        <v>388</v>
      </c>
      <c r="G330" s="3" t="s">
        <v>377</v>
      </c>
      <c r="H330" s="3" t="s">
        <v>28</v>
      </c>
      <c r="I330" s="3">
        <v>8</v>
      </c>
      <c r="J330" s="3">
        <v>234.79</v>
      </c>
      <c r="K330" s="3">
        <v>1202.3399999999999</v>
      </c>
      <c r="L330" s="7">
        <f t="shared" si="15"/>
        <v>1878.32</v>
      </c>
      <c r="M330" s="7">
        <f t="shared" si="16"/>
        <v>675.98</v>
      </c>
      <c r="N330" t="str">
        <f t="shared" si="17"/>
        <v>Medium</v>
      </c>
    </row>
    <row r="331" spans="1:14" x14ac:dyDescent="0.3">
      <c r="A331" s="4">
        <v>46260</v>
      </c>
      <c r="B331" s="5">
        <v>2026</v>
      </c>
      <c r="C331" s="5" t="s">
        <v>78</v>
      </c>
      <c r="D331" s="5" t="s">
        <v>231</v>
      </c>
      <c r="E331" s="5" t="s">
        <v>382</v>
      </c>
      <c r="F331" s="5" t="s">
        <v>383</v>
      </c>
      <c r="G331" s="5" t="s">
        <v>377</v>
      </c>
      <c r="H331" s="5" t="s">
        <v>39</v>
      </c>
      <c r="I331" s="5">
        <v>1</v>
      </c>
      <c r="J331" s="5">
        <v>191.69</v>
      </c>
      <c r="K331" s="5">
        <v>114.37</v>
      </c>
      <c r="L331" s="7">
        <f t="shared" si="15"/>
        <v>191.69</v>
      </c>
      <c r="M331" s="7">
        <f t="shared" si="16"/>
        <v>77.319999999999993</v>
      </c>
      <c r="N331" t="str">
        <f t="shared" si="17"/>
        <v>Low</v>
      </c>
    </row>
    <row r="332" spans="1:14" x14ac:dyDescent="0.3">
      <c r="A332" s="2">
        <v>46338</v>
      </c>
      <c r="B332" s="3">
        <v>2026</v>
      </c>
      <c r="C332" s="3" t="s">
        <v>195</v>
      </c>
      <c r="D332" s="3" t="s">
        <v>337</v>
      </c>
      <c r="E332" s="3" t="s">
        <v>398</v>
      </c>
      <c r="F332" s="3" t="s">
        <v>399</v>
      </c>
      <c r="G332" s="3" t="s">
        <v>377</v>
      </c>
      <c r="H332" s="3" t="s">
        <v>16</v>
      </c>
      <c r="I332" s="3">
        <v>8</v>
      </c>
      <c r="J332" s="3">
        <v>412.87</v>
      </c>
      <c r="K332" s="3">
        <v>2797.84</v>
      </c>
      <c r="L332" s="7">
        <f t="shared" si="15"/>
        <v>3302.96</v>
      </c>
      <c r="M332" s="7">
        <f t="shared" si="16"/>
        <v>505.11999999999989</v>
      </c>
      <c r="N332" t="str">
        <f t="shared" si="17"/>
        <v>High</v>
      </c>
    </row>
    <row r="333" spans="1:14" x14ac:dyDescent="0.3">
      <c r="A333" s="4">
        <v>46173</v>
      </c>
      <c r="B333" s="5">
        <v>2026</v>
      </c>
      <c r="C333" s="5" t="s">
        <v>112</v>
      </c>
      <c r="D333" s="5" t="s">
        <v>352</v>
      </c>
      <c r="E333" s="5" t="s">
        <v>395</v>
      </c>
      <c r="F333" s="5" t="s">
        <v>396</v>
      </c>
      <c r="G333" s="5" t="s">
        <v>377</v>
      </c>
      <c r="H333" s="5" t="s">
        <v>21</v>
      </c>
      <c r="I333" s="5">
        <v>1</v>
      </c>
      <c r="J333" s="5">
        <v>89.08</v>
      </c>
      <c r="K333" s="5">
        <v>54.93</v>
      </c>
      <c r="L333" s="7">
        <f t="shared" si="15"/>
        <v>89.08</v>
      </c>
      <c r="M333" s="7">
        <f t="shared" si="16"/>
        <v>34.15</v>
      </c>
      <c r="N333" t="str">
        <f t="shared" si="17"/>
        <v>Low</v>
      </c>
    </row>
    <row r="334" spans="1:14" x14ac:dyDescent="0.3">
      <c r="A334" s="2">
        <v>46253</v>
      </c>
      <c r="B334" s="3">
        <v>2026</v>
      </c>
      <c r="C334" s="3" t="s">
        <v>165</v>
      </c>
      <c r="D334" s="3" t="s">
        <v>225</v>
      </c>
      <c r="E334" s="3" t="s">
        <v>390</v>
      </c>
      <c r="F334" s="3" t="s">
        <v>391</v>
      </c>
      <c r="G334" s="3" t="s">
        <v>377</v>
      </c>
      <c r="H334" s="3" t="s">
        <v>39</v>
      </c>
      <c r="I334" s="3">
        <v>16</v>
      </c>
      <c r="J334" s="3">
        <v>184.64</v>
      </c>
      <c r="K334" s="3">
        <v>1732.49</v>
      </c>
      <c r="L334" s="7">
        <f t="shared" si="15"/>
        <v>2954.24</v>
      </c>
      <c r="M334" s="7">
        <f t="shared" si="16"/>
        <v>1221.7499999999998</v>
      </c>
      <c r="N334" t="str">
        <f t="shared" si="17"/>
        <v>Medium</v>
      </c>
    </row>
    <row r="335" spans="1:14" x14ac:dyDescent="0.3">
      <c r="A335" s="4">
        <v>46123</v>
      </c>
      <c r="B335" s="5">
        <v>2026</v>
      </c>
      <c r="C335" s="5" t="s">
        <v>329</v>
      </c>
      <c r="D335" s="5" t="s">
        <v>238</v>
      </c>
      <c r="E335" s="5" t="s">
        <v>387</v>
      </c>
      <c r="F335" s="5" t="s">
        <v>388</v>
      </c>
      <c r="G335" s="5" t="s">
        <v>377</v>
      </c>
      <c r="H335" s="5" t="s">
        <v>21</v>
      </c>
      <c r="I335" s="5">
        <v>6</v>
      </c>
      <c r="J335" s="5">
        <v>98.15</v>
      </c>
      <c r="K335" s="5">
        <v>365.28</v>
      </c>
      <c r="L335" s="7">
        <f t="shared" si="15"/>
        <v>588.90000000000009</v>
      </c>
      <c r="M335" s="7">
        <f t="shared" si="16"/>
        <v>223.62000000000012</v>
      </c>
      <c r="N335" t="str">
        <f t="shared" si="17"/>
        <v>Low</v>
      </c>
    </row>
    <row r="336" spans="1:14" x14ac:dyDescent="0.3">
      <c r="A336" s="2">
        <v>46050</v>
      </c>
      <c r="B336" s="3">
        <v>2026</v>
      </c>
      <c r="C336" s="3" t="s">
        <v>192</v>
      </c>
      <c r="D336" s="3" t="s">
        <v>401</v>
      </c>
      <c r="E336" s="3" t="s">
        <v>387</v>
      </c>
      <c r="F336" s="3" t="s">
        <v>388</v>
      </c>
      <c r="G336" s="3" t="s">
        <v>377</v>
      </c>
      <c r="H336" s="3" t="s">
        <v>16</v>
      </c>
      <c r="I336" s="3">
        <v>1</v>
      </c>
      <c r="J336" s="3">
        <v>258.31</v>
      </c>
      <c r="K336" s="3">
        <v>196.61</v>
      </c>
      <c r="L336" s="7">
        <f t="shared" si="15"/>
        <v>258.31</v>
      </c>
      <c r="M336" s="7">
        <f t="shared" si="16"/>
        <v>61.699999999999989</v>
      </c>
      <c r="N336" t="str">
        <f t="shared" si="17"/>
        <v>Low</v>
      </c>
    </row>
    <row r="337" spans="1:14" x14ac:dyDescent="0.3">
      <c r="A337" s="4">
        <v>46089</v>
      </c>
      <c r="B337" s="5">
        <v>2026</v>
      </c>
      <c r="C337" s="5" t="s">
        <v>297</v>
      </c>
      <c r="D337" s="5" t="s">
        <v>402</v>
      </c>
      <c r="E337" s="5" t="s">
        <v>375</v>
      </c>
      <c r="F337" s="5" t="s">
        <v>376</v>
      </c>
      <c r="G337" s="5" t="s">
        <v>377</v>
      </c>
      <c r="H337" s="5" t="s">
        <v>21</v>
      </c>
      <c r="I337" s="5">
        <v>6</v>
      </c>
      <c r="J337" s="5">
        <v>472.14</v>
      </c>
      <c r="K337" s="5">
        <v>2250.62</v>
      </c>
      <c r="L337" s="7">
        <f t="shared" si="15"/>
        <v>2832.84</v>
      </c>
      <c r="M337" s="7">
        <f t="shared" si="16"/>
        <v>582.22000000000025</v>
      </c>
      <c r="N337" t="str">
        <f t="shared" si="17"/>
        <v>Medium</v>
      </c>
    </row>
    <row r="338" spans="1:14" x14ac:dyDescent="0.3">
      <c r="A338" s="2">
        <v>46231</v>
      </c>
      <c r="B338" s="3">
        <v>2026</v>
      </c>
      <c r="C338" s="3" t="s">
        <v>100</v>
      </c>
      <c r="D338" s="3" t="s">
        <v>185</v>
      </c>
      <c r="E338" s="3" t="s">
        <v>379</v>
      </c>
      <c r="F338" s="3" t="s">
        <v>380</v>
      </c>
      <c r="G338" s="3" t="s">
        <v>377</v>
      </c>
      <c r="H338" s="3" t="s">
        <v>28</v>
      </c>
      <c r="I338" s="3">
        <v>11</v>
      </c>
      <c r="J338" s="3">
        <v>216.74</v>
      </c>
      <c r="K338" s="3">
        <v>1646.84</v>
      </c>
      <c r="L338" s="7">
        <f t="shared" si="15"/>
        <v>2384.1400000000003</v>
      </c>
      <c r="M338" s="7">
        <f t="shared" si="16"/>
        <v>737.30000000000041</v>
      </c>
      <c r="N338" t="str">
        <f t="shared" si="17"/>
        <v>Medium</v>
      </c>
    </row>
    <row r="339" spans="1:14" x14ac:dyDescent="0.3">
      <c r="A339" s="4">
        <v>46211</v>
      </c>
      <c r="B339" s="5">
        <v>2026</v>
      </c>
      <c r="C339" s="5" t="s">
        <v>201</v>
      </c>
      <c r="D339" s="5" t="s">
        <v>403</v>
      </c>
      <c r="E339" s="5" t="s">
        <v>379</v>
      </c>
      <c r="F339" s="5" t="s">
        <v>380</v>
      </c>
      <c r="G339" s="5" t="s">
        <v>377</v>
      </c>
      <c r="H339" s="5" t="s">
        <v>21</v>
      </c>
      <c r="I339" s="5">
        <v>1</v>
      </c>
      <c r="J339" s="5">
        <v>243.83</v>
      </c>
      <c r="K339" s="5">
        <v>177.91</v>
      </c>
      <c r="L339" s="7">
        <f t="shared" si="15"/>
        <v>243.83</v>
      </c>
      <c r="M339" s="7">
        <f t="shared" si="16"/>
        <v>65.920000000000016</v>
      </c>
      <c r="N339" t="str">
        <f t="shared" si="17"/>
        <v>Low</v>
      </c>
    </row>
    <row r="340" spans="1:14" x14ac:dyDescent="0.3">
      <c r="A340" s="2">
        <v>46290</v>
      </c>
      <c r="B340" s="3">
        <v>2026</v>
      </c>
      <c r="C340" s="3" t="s">
        <v>40</v>
      </c>
      <c r="D340" s="3" t="s">
        <v>157</v>
      </c>
      <c r="E340" s="3" t="s">
        <v>393</v>
      </c>
      <c r="F340" s="3" t="s">
        <v>394</v>
      </c>
      <c r="G340" s="3" t="s">
        <v>377</v>
      </c>
      <c r="H340" s="3" t="s">
        <v>28</v>
      </c>
      <c r="I340" s="3">
        <v>1</v>
      </c>
      <c r="J340" s="3">
        <v>290.45999999999998</v>
      </c>
      <c r="K340" s="3">
        <v>187.13</v>
      </c>
      <c r="L340" s="7">
        <f t="shared" si="15"/>
        <v>290.45999999999998</v>
      </c>
      <c r="M340" s="7">
        <f t="shared" si="16"/>
        <v>103.32999999999998</v>
      </c>
      <c r="N340" t="str">
        <f t="shared" si="17"/>
        <v>Low</v>
      </c>
    </row>
    <row r="341" spans="1:14" x14ac:dyDescent="0.3">
      <c r="A341" s="4">
        <v>46101</v>
      </c>
      <c r="B341" s="5">
        <v>2026</v>
      </c>
      <c r="C341" s="5" t="s">
        <v>198</v>
      </c>
      <c r="D341" s="5" t="s">
        <v>404</v>
      </c>
      <c r="E341" s="5" t="s">
        <v>395</v>
      </c>
      <c r="F341" s="5" t="s">
        <v>396</v>
      </c>
      <c r="G341" s="5" t="s">
        <v>377</v>
      </c>
      <c r="H341" s="5" t="s">
        <v>39</v>
      </c>
      <c r="I341" s="5">
        <v>10</v>
      </c>
      <c r="J341" s="5">
        <v>364.69</v>
      </c>
      <c r="K341" s="5">
        <v>2425.81</v>
      </c>
      <c r="L341" s="7">
        <f t="shared" si="15"/>
        <v>3646.9</v>
      </c>
      <c r="M341" s="7">
        <f t="shared" si="16"/>
        <v>1221.0900000000001</v>
      </c>
      <c r="N341" t="str">
        <f t="shared" si="17"/>
        <v>High</v>
      </c>
    </row>
    <row r="342" spans="1:14" x14ac:dyDescent="0.3">
      <c r="A342" s="2">
        <v>46365</v>
      </c>
      <c r="B342" s="3">
        <v>2026</v>
      </c>
      <c r="C342" s="3" t="s">
        <v>108</v>
      </c>
      <c r="D342" s="3" t="s">
        <v>405</v>
      </c>
      <c r="E342" s="3" t="s">
        <v>375</v>
      </c>
      <c r="F342" s="3" t="s">
        <v>376</v>
      </c>
      <c r="G342" s="3" t="s">
        <v>377</v>
      </c>
      <c r="H342" s="3" t="s">
        <v>21</v>
      </c>
      <c r="I342" s="3">
        <v>5</v>
      </c>
      <c r="J342" s="3">
        <v>283.66000000000003</v>
      </c>
      <c r="K342" s="3">
        <v>1093.54</v>
      </c>
      <c r="L342" s="7">
        <f t="shared" si="15"/>
        <v>1418.3000000000002</v>
      </c>
      <c r="M342" s="7">
        <f t="shared" si="16"/>
        <v>324.76000000000022</v>
      </c>
      <c r="N342" t="str">
        <f t="shared" si="17"/>
        <v>Low</v>
      </c>
    </row>
    <row r="343" spans="1:14" x14ac:dyDescent="0.3">
      <c r="A343" s="4">
        <v>46121</v>
      </c>
      <c r="B343" s="5">
        <v>2026</v>
      </c>
      <c r="C343" s="5" t="s">
        <v>169</v>
      </c>
      <c r="D343" s="5" t="s">
        <v>277</v>
      </c>
      <c r="E343" s="5" t="s">
        <v>395</v>
      </c>
      <c r="F343" s="5" t="s">
        <v>396</v>
      </c>
      <c r="G343" s="5" t="s">
        <v>377</v>
      </c>
      <c r="H343" s="5" t="s">
        <v>21</v>
      </c>
      <c r="I343" s="5">
        <v>15</v>
      </c>
      <c r="J343" s="5">
        <v>76.92</v>
      </c>
      <c r="K343" s="5">
        <v>721.61</v>
      </c>
      <c r="L343" s="7">
        <f t="shared" si="15"/>
        <v>1153.8</v>
      </c>
      <c r="M343" s="7">
        <f t="shared" si="16"/>
        <v>432.18999999999994</v>
      </c>
      <c r="N343" t="str">
        <f t="shared" si="17"/>
        <v>Low</v>
      </c>
    </row>
    <row r="344" spans="1:14" x14ac:dyDescent="0.3">
      <c r="A344" s="2">
        <v>46120</v>
      </c>
      <c r="B344" s="3">
        <v>2026</v>
      </c>
      <c r="C344" s="3" t="s">
        <v>183</v>
      </c>
      <c r="D344" s="3" t="s">
        <v>111</v>
      </c>
      <c r="E344" s="3" t="s">
        <v>395</v>
      </c>
      <c r="F344" s="3" t="s">
        <v>396</v>
      </c>
      <c r="G344" s="3" t="s">
        <v>377</v>
      </c>
      <c r="H344" s="3" t="s">
        <v>21</v>
      </c>
      <c r="I344" s="3">
        <v>11</v>
      </c>
      <c r="J344" s="3">
        <v>277.77999999999997</v>
      </c>
      <c r="K344" s="3">
        <v>2444.86</v>
      </c>
      <c r="L344" s="7">
        <f t="shared" si="15"/>
        <v>3055.58</v>
      </c>
      <c r="M344" s="7">
        <f t="shared" si="16"/>
        <v>610.7199999999998</v>
      </c>
      <c r="N344" t="str">
        <f t="shared" si="17"/>
        <v>High</v>
      </c>
    </row>
    <row r="345" spans="1:14" x14ac:dyDescent="0.3">
      <c r="A345" s="4">
        <v>46183</v>
      </c>
      <c r="B345" s="5">
        <v>2026</v>
      </c>
      <c r="C345" s="5" t="s">
        <v>102</v>
      </c>
      <c r="D345" s="5" t="s">
        <v>406</v>
      </c>
      <c r="E345" s="5" t="s">
        <v>395</v>
      </c>
      <c r="F345" s="5" t="s">
        <v>396</v>
      </c>
      <c r="G345" s="5" t="s">
        <v>377</v>
      </c>
      <c r="H345" s="5" t="s">
        <v>39</v>
      </c>
      <c r="I345" s="5">
        <v>10</v>
      </c>
      <c r="J345" s="5">
        <v>111.27</v>
      </c>
      <c r="K345" s="5">
        <v>633.16</v>
      </c>
      <c r="L345" s="7">
        <f t="shared" si="15"/>
        <v>1112.7</v>
      </c>
      <c r="M345" s="7">
        <f t="shared" si="16"/>
        <v>479.54000000000008</v>
      </c>
      <c r="N345" t="str">
        <f t="shared" si="17"/>
        <v>Low</v>
      </c>
    </row>
    <row r="346" spans="1:14" x14ac:dyDescent="0.3">
      <c r="A346" s="2">
        <v>46348</v>
      </c>
      <c r="B346" s="3">
        <v>2026</v>
      </c>
      <c r="C346" s="3" t="s">
        <v>150</v>
      </c>
      <c r="D346" s="3" t="s">
        <v>203</v>
      </c>
      <c r="E346" s="3" t="s">
        <v>387</v>
      </c>
      <c r="F346" s="3" t="s">
        <v>388</v>
      </c>
      <c r="G346" s="3" t="s">
        <v>377</v>
      </c>
      <c r="H346" s="3" t="s">
        <v>39</v>
      </c>
      <c r="I346" s="3">
        <v>1</v>
      </c>
      <c r="J346" s="3">
        <v>167.37</v>
      </c>
      <c r="K346" s="3">
        <v>103.81</v>
      </c>
      <c r="L346" s="7">
        <f t="shared" si="15"/>
        <v>167.37</v>
      </c>
      <c r="M346" s="7">
        <f t="shared" si="16"/>
        <v>63.56</v>
      </c>
      <c r="N346" t="str">
        <f t="shared" si="17"/>
        <v>Low</v>
      </c>
    </row>
    <row r="347" spans="1:14" x14ac:dyDescent="0.3">
      <c r="A347" s="4">
        <v>46168</v>
      </c>
      <c r="B347" s="5">
        <v>2026</v>
      </c>
      <c r="C347" s="5" t="s">
        <v>50</v>
      </c>
      <c r="D347" s="5" t="s">
        <v>48</v>
      </c>
      <c r="E347" s="5" t="s">
        <v>375</v>
      </c>
      <c r="F347" s="5" t="s">
        <v>376</v>
      </c>
      <c r="G347" s="5" t="s">
        <v>377</v>
      </c>
      <c r="H347" s="5" t="s">
        <v>21</v>
      </c>
      <c r="I347" s="5">
        <v>1</v>
      </c>
      <c r="J347" s="5">
        <v>70.62</v>
      </c>
      <c r="K347" s="5">
        <v>43.51</v>
      </c>
      <c r="L347" s="7">
        <f t="shared" si="15"/>
        <v>70.62</v>
      </c>
      <c r="M347" s="7">
        <f t="shared" si="16"/>
        <v>27.110000000000007</v>
      </c>
      <c r="N347" t="str">
        <f t="shared" si="17"/>
        <v>Low</v>
      </c>
    </row>
    <row r="348" spans="1:14" x14ac:dyDescent="0.3">
      <c r="A348" s="2">
        <v>46112</v>
      </c>
      <c r="B348" s="3">
        <v>2026</v>
      </c>
      <c r="C348" s="3" t="s">
        <v>165</v>
      </c>
      <c r="D348" s="3" t="s">
        <v>407</v>
      </c>
      <c r="E348" s="3" t="s">
        <v>387</v>
      </c>
      <c r="F348" s="3" t="s">
        <v>388</v>
      </c>
      <c r="G348" s="3" t="s">
        <v>377</v>
      </c>
      <c r="H348" s="3" t="s">
        <v>21</v>
      </c>
      <c r="I348" s="3">
        <v>11</v>
      </c>
      <c r="J348" s="3">
        <v>151.02000000000001</v>
      </c>
      <c r="K348" s="3">
        <v>1215.56</v>
      </c>
      <c r="L348" s="7">
        <f t="shared" si="15"/>
        <v>1661.22</v>
      </c>
      <c r="M348" s="7">
        <f t="shared" si="16"/>
        <v>445.66000000000008</v>
      </c>
      <c r="N348" t="str">
        <f t="shared" si="17"/>
        <v>Medium</v>
      </c>
    </row>
    <row r="349" spans="1:14" x14ac:dyDescent="0.3">
      <c r="A349" s="4">
        <v>46174</v>
      </c>
      <c r="B349" s="5">
        <v>2026</v>
      </c>
      <c r="C349" s="5" t="s">
        <v>198</v>
      </c>
      <c r="D349" s="5" t="s">
        <v>178</v>
      </c>
      <c r="E349" s="5" t="s">
        <v>393</v>
      </c>
      <c r="F349" s="5" t="s">
        <v>394</v>
      </c>
      <c r="G349" s="5" t="s">
        <v>377</v>
      </c>
      <c r="H349" s="5" t="s">
        <v>39</v>
      </c>
      <c r="I349" s="5">
        <v>18</v>
      </c>
      <c r="J349" s="5">
        <v>269.18</v>
      </c>
      <c r="K349" s="5">
        <v>3300.15</v>
      </c>
      <c r="L349" s="7">
        <f t="shared" si="15"/>
        <v>4845.24</v>
      </c>
      <c r="M349" s="7">
        <f t="shared" si="16"/>
        <v>1545.0899999999997</v>
      </c>
      <c r="N349" t="str">
        <f t="shared" si="17"/>
        <v>High</v>
      </c>
    </row>
    <row r="350" spans="1:14" x14ac:dyDescent="0.3">
      <c r="A350" s="2">
        <v>46349</v>
      </c>
      <c r="B350" s="3">
        <v>2026</v>
      </c>
      <c r="C350" s="3" t="s">
        <v>82</v>
      </c>
      <c r="D350" s="3" t="s">
        <v>232</v>
      </c>
      <c r="E350" s="3" t="s">
        <v>382</v>
      </c>
      <c r="F350" s="3" t="s">
        <v>383</v>
      </c>
      <c r="G350" s="3" t="s">
        <v>377</v>
      </c>
      <c r="H350" s="3" t="s">
        <v>39</v>
      </c>
      <c r="I350" s="3">
        <v>3</v>
      </c>
      <c r="J350" s="3">
        <v>375.94</v>
      </c>
      <c r="K350" s="3">
        <v>795.77</v>
      </c>
      <c r="L350" s="7">
        <f t="shared" si="15"/>
        <v>1127.82</v>
      </c>
      <c r="M350" s="7">
        <f t="shared" si="16"/>
        <v>332.04999999999995</v>
      </c>
      <c r="N350" t="str">
        <f t="shared" si="17"/>
        <v>Low</v>
      </c>
    </row>
    <row r="351" spans="1:14" x14ac:dyDescent="0.3">
      <c r="A351" s="4">
        <v>46251</v>
      </c>
      <c r="B351" s="5">
        <v>2026</v>
      </c>
      <c r="C351" s="5" t="s">
        <v>256</v>
      </c>
      <c r="D351" s="5" t="s">
        <v>278</v>
      </c>
      <c r="E351" s="5" t="s">
        <v>382</v>
      </c>
      <c r="F351" s="5" t="s">
        <v>383</v>
      </c>
      <c r="G351" s="5" t="s">
        <v>377</v>
      </c>
      <c r="H351" s="5" t="s">
        <v>39</v>
      </c>
      <c r="I351" s="5">
        <v>8</v>
      </c>
      <c r="J351" s="5">
        <v>38.700000000000003</v>
      </c>
      <c r="K351" s="5">
        <v>246.85</v>
      </c>
      <c r="L351" s="7">
        <f t="shared" si="15"/>
        <v>309.60000000000002</v>
      </c>
      <c r="M351" s="7">
        <f t="shared" si="16"/>
        <v>62.750000000000028</v>
      </c>
      <c r="N351" t="str">
        <f t="shared" si="17"/>
        <v>Low</v>
      </c>
    </row>
    <row r="352" spans="1:14" x14ac:dyDescent="0.3">
      <c r="A352" s="2">
        <v>46263</v>
      </c>
      <c r="B352" s="3">
        <v>2026</v>
      </c>
      <c r="C352" s="3" t="s">
        <v>151</v>
      </c>
      <c r="D352" s="3" t="s">
        <v>408</v>
      </c>
      <c r="E352" s="3" t="s">
        <v>395</v>
      </c>
      <c r="F352" s="3" t="s">
        <v>396</v>
      </c>
      <c r="G352" s="3" t="s">
        <v>377</v>
      </c>
      <c r="H352" s="3" t="s">
        <v>21</v>
      </c>
      <c r="I352" s="3">
        <v>6</v>
      </c>
      <c r="J352" s="3">
        <v>426.12</v>
      </c>
      <c r="K352" s="3">
        <v>2033.39</v>
      </c>
      <c r="L352" s="7">
        <f t="shared" si="15"/>
        <v>2556.7200000000003</v>
      </c>
      <c r="M352" s="7">
        <f t="shared" si="16"/>
        <v>523.33000000000015</v>
      </c>
      <c r="N352" t="str">
        <f t="shared" si="17"/>
        <v>Medium</v>
      </c>
    </row>
    <row r="353" spans="1:14" x14ac:dyDescent="0.3">
      <c r="A353" s="4">
        <v>46275</v>
      </c>
      <c r="B353" s="5">
        <v>2026</v>
      </c>
      <c r="C353" s="5" t="s">
        <v>253</v>
      </c>
      <c r="D353" s="5" t="s">
        <v>343</v>
      </c>
      <c r="E353" s="5" t="s">
        <v>395</v>
      </c>
      <c r="F353" s="5" t="s">
        <v>396</v>
      </c>
      <c r="G353" s="5" t="s">
        <v>377</v>
      </c>
      <c r="H353" s="5" t="s">
        <v>39</v>
      </c>
      <c r="I353" s="5">
        <v>10</v>
      </c>
      <c r="J353" s="5">
        <v>276.63</v>
      </c>
      <c r="K353" s="5">
        <v>1820.64</v>
      </c>
      <c r="L353" s="7">
        <f t="shared" si="15"/>
        <v>2766.3</v>
      </c>
      <c r="M353" s="7">
        <f t="shared" si="16"/>
        <v>945.66000000000008</v>
      </c>
      <c r="N353" t="str">
        <f t="shared" si="17"/>
        <v>Medium</v>
      </c>
    </row>
    <row r="354" spans="1:14" x14ac:dyDescent="0.3">
      <c r="A354" s="2">
        <v>46058</v>
      </c>
      <c r="B354" s="3">
        <v>2026</v>
      </c>
      <c r="C354" s="3" t="s">
        <v>171</v>
      </c>
      <c r="D354" s="3" t="s">
        <v>306</v>
      </c>
      <c r="E354" s="3" t="s">
        <v>375</v>
      </c>
      <c r="F354" s="3" t="s">
        <v>376</v>
      </c>
      <c r="G354" s="3" t="s">
        <v>377</v>
      </c>
      <c r="H354" s="3" t="s">
        <v>28</v>
      </c>
      <c r="I354" s="3">
        <v>16</v>
      </c>
      <c r="J354" s="3">
        <v>82.81</v>
      </c>
      <c r="K354" s="3">
        <v>830.57</v>
      </c>
      <c r="L354" s="7">
        <f t="shared" si="15"/>
        <v>1324.96</v>
      </c>
      <c r="M354" s="7">
        <f t="shared" si="16"/>
        <v>494.39</v>
      </c>
      <c r="N354" t="str">
        <f t="shared" si="17"/>
        <v>Low</v>
      </c>
    </row>
    <row r="355" spans="1:14" x14ac:dyDescent="0.3">
      <c r="A355" s="4">
        <v>46214</v>
      </c>
      <c r="B355" s="5">
        <v>2026</v>
      </c>
      <c r="C355" s="5" t="s">
        <v>237</v>
      </c>
      <c r="D355" s="5" t="s">
        <v>277</v>
      </c>
      <c r="E355" s="5" t="s">
        <v>385</v>
      </c>
      <c r="F355" s="5" t="s">
        <v>386</v>
      </c>
      <c r="G355" s="5" t="s">
        <v>377</v>
      </c>
      <c r="H355" s="5" t="s">
        <v>21</v>
      </c>
      <c r="I355" s="5">
        <v>8</v>
      </c>
      <c r="J355" s="5">
        <v>462.85</v>
      </c>
      <c r="K355" s="5">
        <v>2295.48</v>
      </c>
      <c r="L355" s="7">
        <f t="shared" si="15"/>
        <v>3702.8</v>
      </c>
      <c r="M355" s="7">
        <f t="shared" si="16"/>
        <v>1407.3200000000002</v>
      </c>
      <c r="N355" t="str">
        <f t="shared" si="17"/>
        <v>High</v>
      </c>
    </row>
    <row r="356" spans="1:14" x14ac:dyDescent="0.3">
      <c r="A356" s="2">
        <v>46061</v>
      </c>
      <c r="B356" s="3">
        <v>2026</v>
      </c>
      <c r="C356" s="3" t="s">
        <v>247</v>
      </c>
      <c r="D356" s="3" t="s">
        <v>409</v>
      </c>
      <c r="E356" s="3" t="s">
        <v>398</v>
      </c>
      <c r="F356" s="3" t="s">
        <v>399</v>
      </c>
      <c r="G356" s="3" t="s">
        <v>377</v>
      </c>
      <c r="H356" s="3" t="s">
        <v>28</v>
      </c>
      <c r="I356" s="3">
        <v>20</v>
      </c>
      <c r="J356" s="3">
        <v>227.07</v>
      </c>
      <c r="K356" s="3">
        <v>3051.73</v>
      </c>
      <c r="L356" s="7">
        <f t="shared" si="15"/>
        <v>4541.3999999999996</v>
      </c>
      <c r="M356" s="7">
        <f t="shared" si="16"/>
        <v>1489.6699999999996</v>
      </c>
      <c r="N356" t="str">
        <f t="shared" si="17"/>
        <v>High</v>
      </c>
    </row>
    <row r="357" spans="1:14" x14ac:dyDescent="0.3">
      <c r="A357" s="4">
        <v>46089</v>
      </c>
      <c r="B357" s="5">
        <v>2026</v>
      </c>
      <c r="C357" s="5" t="s">
        <v>55</v>
      </c>
      <c r="D357" s="5" t="s">
        <v>224</v>
      </c>
      <c r="E357" s="5" t="s">
        <v>382</v>
      </c>
      <c r="F357" s="5" t="s">
        <v>383</v>
      </c>
      <c r="G357" s="5" t="s">
        <v>377</v>
      </c>
      <c r="H357" s="5" t="s">
        <v>16</v>
      </c>
      <c r="I357" s="5">
        <v>7</v>
      </c>
      <c r="J357" s="5">
        <v>476.38</v>
      </c>
      <c r="K357" s="5">
        <v>1889.3</v>
      </c>
      <c r="L357" s="7">
        <f t="shared" si="15"/>
        <v>3334.66</v>
      </c>
      <c r="M357" s="7">
        <f t="shared" si="16"/>
        <v>1445.36</v>
      </c>
      <c r="N357" t="str">
        <f t="shared" si="17"/>
        <v>High</v>
      </c>
    </row>
    <row r="358" spans="1:14" x14ac:dyDescent="0.3">
      <c r="A358" s="2">
        <v>46260</v>
      </c>
      <c r="B358" s="3">
        <v>2026</v>
      </c>
      <c r="C358" s="3" t="s">
        <v>143</v>
      </c>
      <c r="D358" s="3" t="s">
        <v>129</v>
      </c>
      <c r="E358" s="3" t="s">
        <v>398</v>
      </c>
      <c r="F358" s="3" t="s">
        <v>399</v>
      </c>
      <c r="G358" s="3" t="s">
        <v>377</v>
      </c>
      <c r="H358" s="3" t="s">
        <v>39</v>
      </c>
      <c r="I358" s="3">
        <v>4</v>
      </c>
      <c r="J358" s="3">
        <v>309.83999999999997</v>
      </c>
      <c r="K358" s="3">
        <v>709.3</v>
      </c>
      <c r="L358" s="7">
        <f t="shared" si="15"/>
        <v>1239.3599999999999</v>
      </c>
      <c r="M358" s="7">
        <f t="shared" si="16"/>
        <v>530.05999999999995</v>
      </c>
      <c r="N358" t="str">
        <f t="shared" si="17"/>
        <v>Low</v>
      </c>
    </row>
    <row r="359" spans="1:14" x14ac:dyDescent="0.3">
      <c r="A359" s="4">
        <v>46030</v>
      </c>
      <c r="B359" s="5">
        <v>2026</v>
      </c>
      <c r="C359" s="5" t="s">
        <v>273</v>
      </c>
      <c r="D359" s="5" t="s">
        <v>410</v>
      </c>
      <c r="E359" s="5" t="s">
        <v>379</v>
      </c>
      <c r="F359" s="5" t="s">
        <v>380</v>
      </c>
      <c r="G359" s="5" t="s">
        <v>377</v>
      </c>
      <c r="H359" s="5" t="s">
        <v>21</v>
      </c>
      <c r="I359" s="5">
        <v>2</v>
      </c>
      <c r="J359" s="5">
        <v>187.75</v>
      </c>
      <c r="K359" s="5">
        <v>308.77</v>
      </c>
      <c r="L359" s="7">
        <f t="shared" si="15"/>
        <v>375.5</v>
      </c>
      <c r="M359" s="7">
        <f t="shared" si="16"/>
        <v>66.730000000000018</v>
      </c>
      <c r="N359" t="str">
        <f t="shared" si="17"/>
        <v>Low</v>
      </c>
    </row>
    <row r="360" spans="1:14" x14ac:dyDescent="0.3">
      <c r="A360" s="2">
        <v>46378</v>
      </c>
      <c r="B360" s="3">
        <v>2026</v>
      </c>
      <c r="C360" s="3" t="s">
        <v>256</v>
      </c>
      <c r="D360" s="3" t="s">
        <v>293</v>
      </c>
      <c r="E360" s="3" t="s">
        <v>379</v>
      </c>
      <c r="F360" s="3" t="s">
        <v>380</v>
      </c>
      <c r="G360" s="3" t="s">
        <v>377</v>
      </c>
      <c r="H360" s="3" t="s">
        <v>28</v>
      </c>
      <c r="I360" s="3">
        <v>17</v>
      </c>
      <c r="J360" s="3">
        <v>90.2</v>
      </c>
      <c r="K360" s="3">
        <v>1114.5899999999999</v>
      </c>
      <c r="L360" s="7">
        <f t="shared" si="15"/>
        <v>1533.4</v>
      </c>
      <c r="M360" s="7">
        <f t="shared" si="16"/>
        <v>418.81000000000017</v>
      </c>
      <c r="N360" t="str">
        <f t="shared" si="17"/>
        <v>Medium</v>
      </c>
    </row>
    <row r="361" spans="1:14" x14ac:dyDescent="0.3">
      <c r="A361" s="4">
        <v>46357</v>
      </c>
      <c r="B361" s="5">
        <v>2026</v>
      </c>
      <c r="C361" s="5" t="s">
        <v>226</v>
      </c>
      <c r="D361" s="5" t="s">
        <v>411</v>
      </c>
      <c r="E361" s="5" t="s">
        <v>382</v>
      </c>
      <c r="F361" s="5" t="s">
        <v>383</v>
      </c>
      <c r="G361" s="5" t="s">
        <v>377</v>
      </c>
      <c r="H361" s="5" t="s">
        <v>39</v>
      </c>
      <c r="I361" s="5">
        <v>8</v>
      </c>
      <c r="J361" s="5">
        <v>428.91</v>
      </c>
      <c r="K361" s="5">
        <v>2342.89</v>
      </c>
      <c r="L361" s="7">
        <f t="shared" si="15"/>
        <v>3431.28</v>
      </c>
      <c r="M361" s="7">
        <f t="shared" si="16"/>
        <v>1088.3900000000003</v>
      </c>
      <c r="N361" t="str">
        <f t="shared" si="17"/>
        <v>High</v>
      </c>
    </row>
    <row r="362" spans="1:14" x14ac:dyDescent="0.3">
      <c r="A362" s="2">
        <v>46197</v>
      </c>
      <c r="B362" s="3">
        <v>2026</v>
      </c>
      <c r="C362" s="3" t="s">
        <v>198</v>
      </c>
      <c r="D362" s="3" t="s">
        <v>243</v>
      </c>
      <c r="E362" s="3" t="s">
        <v>385</v>
      </c>
      <c r="F362" s="3" t="s">
        <v>386</v>
      </c>
      <c r="G362" s="3" t="s">
        <v>377</v>
      </c>
      <c r="H362" s="3" t="s">
        <v>21</v>
      </c>
      <c r="I362" s="3">
        <v>5</v>
      </c>
      <c r="J362" s="3">
        <v>141.44</v>
      </c>
      <c r="K362" s="3">
        <v>389.5</v>
      </c>
      <c r="L362" s="7">
        <f t="shared" si="15"/>
        <v>707.2</v>
      </c>
      <c r="M362" s="7">
        <f t="shared" si="16"/>
        <v>317.70000000000005</v>
      </c>
      <c r="N362" t="str">
        <f t="shared" si="17"/>
        <v>Low</v>
      </c>
    </row>
    <row r="363" spans="1:14" x14ac:dyDescent="0.3">
      <c r="A363" s="4">
        <v>46387</v>
      </c>
      <c r="B363" s="5">
        <v>2026</v>
      </c>
      <c r="C363" s="5" t="s">
        <v>248</v>
      </c>
      <c r="D363" s="5" t="s">
        <v>144</v>
      </c>
      <c r="E363" s="5" t="s">
        <v>387</v>
      </c>
      <c r="F363" s="5" t="s">
        <v>388</v>
      </c>
      <c r="G363" s="5" t="s">
        <v>377</v>
      </c>
      <c r="H363" s="5" t="s">
        <v>16</v>
      </c>
      <c r="I363" s="5">
        <v>3</v>
      </c>
      <c r="J363" s="5">
        <v>340.16</v>
      </c>
      <c r="K363" s="5">
        <v>751.38</v>
      </c>
      <c r="L363" s="7">
        <f t="shared" si="15"/>
        <v>1020.48</v>
      </c>
      <c r="M363" s="7">
        <f t="shared" si="16"/>
        <v>269.10000000000002</v>
      </c>
      <c r="N363" t="str">
        <f t="shared" si="17"/>
        <v>Low</v>
      </c>
    </row>
    <row r="364" spans="1:14" x14ac:dyDescent="0.3">
      <c r="A364" s="2">
        <v>46067</v>
      </c>
      <c r="B364" s="3">
        <v>2026</v>
      </c>
      <c r="C364" s="3" t="s">
        <v>61</v>
      </c>
      <c r="D364" s="3" t="s">
        <v>240</v>
      </c>
      <c r="E364" s="3" t="s">
        <v>395</v>
      </c>
      <c r="F364" s="3" t="s">
        <v>396</v>
      </c>
      <c r="G364" s="3" t="s">
        <v>377</v>
      </c>
      <c r="H364" s="3" t="s">
        <v>28</v>
      </c>
      <c r="I364" s="3">
        <v>8</v>
      </c>
      <c r="J364" s="3">
        <v>177.66</v>
      </c>
      <c r="K364" s="3">
        <v>771.7</v>
      </c>
      <c r="L364" s="7">
        <f t="shared" si="15"/>
        <v>1421.28</v>
      </c>
      <c r="M364" s="7">
        <f t="shared" si="16"/>
        <v>649.57999999999993</v>
      </c>
      <c r="N364" t="str">
        <f t="shared" si="17"/>
        <v>Low</v>
      </c>
    </row>
    <row r="365" spans="1:14" x14ac:dyDescent="0.3">
      <c r="A365" s="4">
        <v>46338</v>
      </c>
      <c r="B365" s="5">
        <v>2026</v>
      </c>
      <c r="C365" s="5" t="s">
        <v>53</v>
      </c>
      <c r="D365" s="5" t="s">
        <v>209</v>
      </c>
      <c r="E365" s="5" t="s">
        <v>395</v>
      </c>
      <c r="F365" s="5" t="s">
        <v>396</v>
      </c>
      <c r="G365" s="5" t="s">
        <v>377</v>
      </c>
      <c r="H365" s="5" t="s">
        <v>21</v>
      </c>
      <c r="I365" s="5">
        <v>7</v>
      </c>
      <c r="J365" s="5">
        <v>413.69</v>
      </c>
      <c r="K365" s="5">
        <v>1970.34</v>
      </c>
      <c r="L365" s="7">
        <f t="shared" si="15"/>
        <v>2895.83</v>
      </c>
      <c r="M365" s="7">
        <f t="shared" si="16"/>
        <v>925.49</v>
      </c>
      <c r="N365" t="str">
        <f t="shared" si="17"/>
        <v>Medium</v>
      </c>
    </row>
    <row r="366" spans="1:14" x14ac:dyDescent="0.3">
      <c r="A366" s="2">
        <v>46028</v>
      </c>
      <c r="B366" s="3">
        <v>2026</v>
      </c>
      <c r="C366" s="3" t="s">
        <v>125</v>
      </c>
      <c r="D366" s="3" t="s">
        <v>126</v>
      </c>
      <c r="E366" s="3" t="s">
        <v>382</v>
      </c>
      <c r="F366" s="3" t="s">
        <v>383</v>
      </c>
      <c r="G366" s="3" t="s">
        <v>377</v>
      </c>
      <c r="H366" s="3" t="s">
        <v>39</v>
      </c>
      <c r="I366" s="3">
        <v>7</v>
      </c>
      <c r="J366" s="3">
        <v>87.34</v>
      </c>
      <c r="K366" s="3">
        <v>471.19</v>
      </c>
      <c r="L366" s="7">
        <f t="shared" si="15"/>
        <v>611.38</v>
      </c>
      <c r="M366" s="7">
        <f t="shared" si="16"/>
        <v>140.19</v>
      </c>
      <c r="N366" t="str">
        <f t="shared" si="17"/>
        <v>Low</v>
      </c>
    </row>
    <row r="367" spans="1:14" x14ac:dyDescent="0.3">
      <c r="A367" s="4">
        <v>46040</v>
      </c>
      <c r="B367" s="5">
        <v>2026</v>
      </c>
      <c r="C367" s="5" t="s">
        <v>148</v>
      </c>
      <c r="D367" s="5" t="s">
        <v>302</v>
      </c>
      <c r="E367" s="5" t="s">
        <v>398</v>
      </c>
      <c r="F367" s="5" t="s">
        <v>399</v>
      </c>
      <c r="G367" s="5" t="s">
        <v>377</v>
      </c>
      <c r="H367" s="5" t="s">
        <v>39</v>
      </c>
      <c r="I367" s="5">
        <v>17</v>
      </c>
      <c r="J367" s="5">
        <v>136.94</v>
      </c>
      <c r="K367" s="5">
        <v>1848.14</v>
      </c>
      <c r="L367" s="7">
        <f t="shared" si="15"/>
        <v>2327.98</v>
      </c>
      <c r="M367" s="7">
        <f t="shared" si="16"/>
        <v>479.83999999999992</v>
      </c>
      <c r="N367" t="str">
        <f t="shared" si="17"/>
        <v>Medium</v>
      </c>
    </row>
    <row r="368" spans="1:14" x14ac:dyDescent="0.3">
      <c r="A368" s="2">
        <v>46160</v>
      </c>
      <c r="B368" s="3">
        <v>2026</v>
      </c>
      <c r="C368" s="3" t="s">
        <v>96</v>
      </c>
      <c r="D368" s="3" t="s">
        <v>207</v>
      </c>
      <c r="E368" s="3" t="s">
        <v>387</v>
      </c>
      <c r="F368" s="3" t="s">
        <v>388</v>
      </c>
      <c r="G368" s="3" t="s">
        <v>377</v>
      </c>
      <c r="H368" s="3" t="s">
        <v>28</v>
      </c>
      <c r="I368" s="3">
        <v>4</v>
      </c>
      <c r="J368" s="3">
        <v>120.81</v>
      </c>
      <c r="K368" s="3">
        <v>258.5</v>
      </c>
      <c r="L368" s="7">
        <f t="shared" si="15"/>
        <v>483.24</v>
      </c>
      <c r="M368" s="7">
        <f t="shared" si="16"/>
        <v>224.74</v>
      </c>
      <c r="N368" t="str">
        <f t="shared" si="17"/>
        <v>Low</v>
      </c>
    </row>
    <row r="369" spans="1:14" x14ac:dyDescent="0.3">
      <c r="A369" s="4">
        <v>46283</v>
      </c>
      <c r="B369" s="5">
        <v>2026</v>
      </c>
      <c r="C369" s="5" t="s">
        <v>223</v>
      </c>
      <c r="D369" s="5" t="s">
        <v>181</v>
      </c>
      <c r="E369" s="5" t="s">
        <v>395</v>
      </c>
      <c r="F369" s="5" t="s">
        <v>396</v>
      </c>
      <c r="G369" s="5" t="s">
        <v>377</v>
      </c>
      <c r="H369" s="5" t="s">
        <v>39</v>
      </c>
      <c r="I369" s="5">
        <v>10</v>
      </c>
      <c r="J369" s="5">
        <v>230.58</v>
      </c>
      <c r="K369" s="5">
        <v>1543.13</v>
      </c>
      <c r="L369" s="7">
        <f t="shared" si="15"/>
        <v>2305.8000000000002</v>
      </c>
      <c r="M369" s="7">
        <f t="shared" si="16"/>
        <v>762.67000000000007</v>
      </c>
      <c r="N369" t="str">
        <f t="shared" si="17"/>
        <v>Medium</v>
      </c>
    </row>
    <row r="370" spans="1:14" x14ac:dyDescent="0.3">
      <c r="A370" s="2">
        <v>46366</v>
      </c>
      <c r="B370" s="3">
        <v>2026</v>
      </c>
      <c r="C370" s="3" t="s">
        <v>276</v>
      </c>
      <c r="D370" s="3" t="s">
        <v>245</v>
      </c>
      <c r="E370" s="3" t="s">
        <v>385</v>
      </c>
      <c r="F370" s="3" t="s">
        <v>386</v>
      </c>
      <c r="G370" s="3" t="s">
        <v>377</v>
      </c>
      <c r="H370" s="3" t="s">
        <v>21</v>
      </c>
      <c r="I370" s="3">
        <v>10</v>
      </c>
      <c r="J370" s="3">
        <v>175.82</v>
      </c>
      <c r="K370" s="3">
        <v>1187.96</v>
      </c>
      <c r="L370" s="7">
        <f t="shared" si="15"/>
        <v>1758.1999999999998</v>
      </c>
      <c r="M370" s="7">
        <f t="shared" si="16"/>
        <v>570.23999999999978</v>
      </c>
      <c r="N370" t="str">
        <f t="shared" si="17"/>
        <v>Medium</v>
      </c>
    </row>
    <row r="371" spans="1:14" x14ac:dyDescent="0.3">
      <c r="A371" s="4">
        <v>46188</v>
      </c>
      <c r="B371" s="5">
        <v>2026</v>
      </c>
      <c r="C371" s="5" t="s">
        <v>262</v>
      </c>
      <c r="D371" s="5" t="s">
        <v>185</v>
      </c>
      <c r="E371" s="5" t="s">
        <v>375</v>
      </c>
      <c r="F371" s="5" t="s">
        <v>376</v>
      </c>
      <c r="G371" s="5" t="s">
        <v>377</v>
      </c>
      <c r="H371" s="5" t="s">
        <v>28</v>
      </c>
      <c r="I371" s="5">
        <v>14</v>
      </c>
      <c r="J371" s="5">
        <v>139.07</v>
      </c>
      <c r="K371" s="5">
        <v>1287.98</v>
      </c>
      <c r="L371" s="7">
        <f t="shared" si="15"/>
        <v>1946.98</v>
      </c>
      <c r="M371" s="7">
        <f t="shared" si="16"/>
        <v>659</v>
      </c>
      <c r="N371" t="str">
        <f t="shared" si="17"/>
        <v>Medium</v>
      </c>
    </row>
    <row r="372" spans="1:14" x14ac:dyDescent="0.3">
      <c r="A372" s="2">
        <v>46038</v>
      </c>
      <c r="B372" s="3">
        <v>2026</v>
      </c>
      <c r="C372" s="3" t="s">
        <v>40</v>
      </c>
      <c r="D372" s="3" t="s">
        <v>412</v>
      </c>
      <c r="E372" s="3" t="s">
        <v>375</v>
      </c>
      <c r="F372" s="3" t="s">
        <v>376</v>
      </c>
      <c r="G372" s="3" t="s">
        <v>377</v>
      </c>
      <c r="H372" s="3" t="s">
        <v>16</v>
      </c>
      <c r="I372" s="3">
        <v>16</v>
      </c>
      <c r="J372" s="3">
        <v>170.41</v>
      </c>
      <c r="K372" s="3">
        <v>1769</v>
      </c>
      <c r="L372" s="7">
        <f t="shared" si="15"/>
        <v>2726.56</v>
      </c>
      <c r="M372" s="7">
        <f t="shared" si="16"/>
        <v>957.56</v>
      </c>
      <c r="N372" t="str">
        <f t="shared" si="17"/>
        <v>Medium</v>
      </c>
    </row>
    <row r="373" spans="1:14" x14ac:dyDescent="0.3">
      <c r="A373" s="4">
        <v>46081</v>
      </c>
      <c r="B373" s="5">
        <v>2026</v>
      </c>
      <c r="C373" s="5" t="s">
        <v>236</v>
      </c>
      <c r="D373" s="5" t="s">
        <v>69</v>
      </c>
      <c r="E373" s="5" t="s">
        <v>385</v>
      </c>
      <c r="F373" s="5" t="s">
        <v>386</v>
      </c>
      <c r="G373" s="5" t="s">
        <v>377</v>
      </c>
      <c r="H373" s="5" t="s">
        <v>16</v>
      </c>
      <c r="I373" s="5">
        <v>1</v>
      </c>
      <c r="J373" s="5">
        <v>272.36</v>
      </c>
      <c r="K373" s="5">
        <v>157.91</v>
      </c>
      <c r="L373" s="7">
        <f t="shared" si="15"/>
        <v>272.36</v>
      </c>
      <c r="M373" s="7">
        <f t="shared" si="16"/>
        <v>114.45000000000002</v>
      </c>
      <c r="N373" t="str">
        <f t="shared" si="17"/>
        <v>Low</v>
      </c>
    </row>
    <row r="374" spans="1:14" x14ac:dyDescent="0.3">
      <c r="A374" s="2">
        <v>46291</v>
      </c>
      <c r="B374" s="3">
        <v>2026</v>
      </c>
      <c r="C374" s="3" t="s">
        <v>413</v>
      </c>
      <c r="D374" s="3" t="s">
        <v>205</v>
      </c>
      <c r="E374" s="3" t="s">
        <v>390</v>
      </c>
      <c r="F374" s="3" t="s">
        <v>391</v>
      </c>
      <c r="G374" s="3" t="s">
        <v>377</v>
      </c>
      <c r="H374" s="3" t="s">
        <v>39</v>
      </c>
      <c r="I374" s="3">
        <v>1</v>
      </c>
      <c r="J374" s="3">
        <v>178.16</v>
      </c>
      <c r="K374" s="3">
        <v>96.75</v>
      </c>
      <c r="L374" s="7">
        <f t="shared" si="15"/>
        <v>178.16</v>
      </c>
      <c r="M374" s="7">
        <f t="shared" si="16"/>
        <v>81.41</v>
      </c>
      <c r="N374" t="str">
        <f t="shared" si="17"/>
        <v>Low</v>
      </c>
    </row>
    <row r="375" spans="1:14" x14ac:dyDescent="0.3">
      <c r="A375" s="4">
        <v>46296</v>
      </c>
      <c r="B375" s="5">
        <v>2026</v>
      </c>
      <c r="C375" s="5" t="s">
        <v>80</v>
      </c>
      <c r="D375" s="5" t="s">
        <v>175</v>
      </c>
      <c r="E375" s="5" t="s">
        <v>390</v>
      </c>
      <c r="F375" s="5" t="s">
        <v>391</v>
      </c>
      <c r="G375" s="5" t="s">
        <v>377</v>
      </c>
      <c r="H375" s="5" t="s">
        <v>16</v>
      </c>
      <c r="I375" s="5">
        <v>3</v>
      </c>
      <c r="J375" s="5">
        <v>486.92</v>
      </c>
      <c r="K375" s="5">
        <v>977.67</v>
      </c>
      <c r="L375" s="7">
        <f t="shared" si="15"/>
        <v>1460.76</v>
      </c>
      <c r="M375" s="7">
        <f t="shared" si="16"/>
        <v>483.09000000000003</v>
      </c>
      <c r="N375" t="str">
        <f t="shared" si="17"/>
        <v>Low</v>
      </c>
    </row>
    <row r="376" spans="1:14" x14ac:dyDescent="0.3">
      <c r="A376" s="2">
        <v>46345</v>
      </c>
      <c r="B376" s="3">
        <v>2026</v>
      </c>
      <c r="C376" s="3" t="s">
        <v>201</v>
      </c>
      <c r="D376" s="3" t="s">
        <v>337</v>
      </c>
      <c r="E376" s="3" t="s">
        <v>385</v>
      </c>
      <c r="F376" s="3" t="s">
        <v>386</v>
      </c>
      <c r="G376" s="3" t="s">
        <v>377</v>
      </c>
      <c r="H376" s="3" t="s">
        <v>21</v>
      </c>
      <c r="I376" s="3">
        <v>14</v>
      </c>
      <c r="J376" s="3">
        <v>225.63</v>
      </c>
      <c r="K376" s="3">
        <v>2276.58</v>
      </c>
      <c r="L376" s="7">
        <f t="shared" si="15"/>
        <v>3158.8199999999997</v>
      </c>
      <c r="M376" s="7">
        <f t="shared" si="16"/>
        <v>882.23999999999978</v>
      </c>
      <c r="N376" t="str">
        <f t="shared" si="17"/>
        <v>High</v>
      </c>
    </row>
    <row r="377" spans="1:14" x14ac:dyDescent="0.3">
      <c r="A377" s="4">
        <v>46027</v>
      </c>
      <c r="B377" s="5">
        <v>2026</v>
      </c>
      <c r="C377" s="5" t="s">
        <v>273</v>
      </c>
      <c r="D377" s="5" t="s">
        <v>414</v>
      </c>
      <c r="E377" s="5" t="s">
        <v>375</v>
      </c>
      <c r="F377" s="5" t="s">
        <v>376</v>
      </c>
      <c r="G377" s="5" t="s">
        <v>377</v>
      </c>
      <c r="H377" s="5" t="s">
        <v>21</v>
      </c>
      <c r="I377" s="5">
        <v>5</v>
      </c>
      <c r="J377" s="5">
        <v>381.24</v>
      </c>
      <c r="K377" s="5">
        <v>1513.89</v>
      </c>
      <c r="L377" s="7">
        <f t="shared" si="15"/>
        <v>1906.2</v>
      </c>
      <c r="M377" s="7">
        <f t="shared" si="16"/>
        <v>392.30999999999995</v>
      </c>
      <c r="N377" t="str">
        <f t="shared" si="17"/>
        <v>Medium</v>
      </c>
    </row>
    <row r="378" spans="1:14" x14ac:dyDescent="0.3">
      <c r="A378" s="2">
        <v>46314</v>
      </c>
      <c r="B378" s="3">
        <v>2026</v>
      </c>
      <c r="C378" s="3" t="s">
        <v>214</v>
      </c>
      <c r="D378" s="3" t="s">
        <v>41</v>
      </c>
      <c r="E378" s="3" t="s">
        <v>379</v>
      </c>
      <c r="F378" s="3" t="s">
        <v>380</v>
      </c>
      <c r="G378" s="3" t="s">
        <v>377</v>
      </c>
      <c r="H378" s="3" t="s">
        <v>21</v>
      </c>
      <c r="I378" s="3">
        <v>12</v>
      </c>
      <c r="J378" s="3">
        <v>44.17</v>
      </c>
      <c r="K378" s="3">
        <v>390.82</v>
      </c>
      <c r="L378" s="7">
        <f t="shared" si="15"/>
        <v>530.04</v>
      </c>
      <c r="M378" s="7">
        <f t="shared" si="16"/>
        <v>139.21999999999997</v>
      </c>
      <c r="N378" t="str">
        <f t="shared" si="17"/>
        <v>Low</v>
      </c>
    </row>
    <row r="379" spans="1:14" x14ac:dyDescent="0.3">
      <c r="A379" s="4">
        <v>46130</v>
      </c>
      <c r="B379" s="5">
        <v>2026</v>
      </c>
      <c r="C379" s="5" t="s">
        <v>193</v>
      </c>
      <c r="D379" s="5" t="s">
        <v>105</v>
      </c>
      <c r="E379" s="5" t="s">
        <v>375</v>
      </c>
      <c r="F379" s="5" t="s">
        <v>376</v>
      </c>
      <c r="G379" s="5" t="s">
        <v>377</v>
      </c>
      <c r="H379" s="5" t="s">
        <v>21</v>
      </c>
      <c r="I379" s="5">
        <v>14</v>
      </c>
      <c r="J379" s="5">
        <v>48.61</v>
      </c>
      <c r="K379" s="5">
        <v>538.67999999999995</v>
      </c>
      <c r="L379" s="7">
        <f t="shared" si="15"/>
        <v>680.54</v>
      </c>
      <c r="M379" s="7">
        <f t="shared" si="16"/>
        <v>141.86000000000001</v>
      </c>
      <c r="N379" t="str">
        <f t="shared" si="17"/>
        <v>Low</v>
      </c>
    </row>
    <row r="380" spans="1:14" x14ac:dyDescent="0.3">
      <c r="A380" s="2">
        <v>46367</v>
      </c>
      <c r="B380" s="3">
        <v>2026</v>
      </c>
      <c r="C380" s="3" t="s">
        <v>234</v>
      </c>
      <c r="D380" s="3" t="s">
        <v>116</v>
      </c>
      <c r="E380" s="3" t="s">
        <v>395</v>
      </c>
      <c r="F380" s="3" t="s">
        <v>396</v>
      </c>
      <c r="G380" s="3" t="s">
        <v>377</v>
      </c>
      <c r="H380" s="3" t="s">
        <v>28</v>
      </c>
      <c r="I380" s="3">
        <v>3</v>
      </c>
      <c r="J380" s="3">
        <v>280.52999999999997</v>
      </c>
      <c r="K380" s="3">
        <v>573.45000000000005</v>
      </c>
      <c r="L380" s="7">
        <f t="shared" si="15"/>
        <v>841.58999999999992</v>
      </c>
      <c r="M380" s="7">
        <f t="shared" si="16"/>
        <v>268.13999999999987</v>
      </c>
      <c r="N380" t="str">
        <f t="shared" si="17"/>
        <v>Low</v>
      </c>
    </row>
    <row r="381" spans="1:14" x14ac:dyDescent="0.3">
      <c r="A381" s="4">
        <v>46365</v>
      </c>
      <c r="B381" s="5">
        <v>2026</v>
      </c>
      <c r="C381" s="5" t="s">
        <v>174</v>
      </c>
      <c r="D381" s="5" t="s">
        <v>199</v>
      </c>
      <c r="E381" s="5" t="s">
        <v>379</v>
      </c>
      <c r="F381" s="5" t="s">
        <v>380</v>
      </c>
      <c r="G381" s="5" t="s">
        <v>377</v>
      </c>
      <c r="H381" s="5" t="s">
        <v>21</v>
      </c>
      <c r="I381" s="5">
        <v>10</v>
      </c>
      <c r="J381" s="5">
        <v>370.04</v>
      </c>
      <c r="K381" s="5">
        <v>2727.9</v>
      </c>
      <c r="L381" s="7">
        <f t="shared" si="15"/>
        <v>3700.4</v>
      </c>
      <c r="M381" s="7">
        <f t="shared" si="16"/>
        <v>972.5</v>
      </c>
      <c r="N381" t="str">
        <f t="shared" si="17"/>
        <v>High</v>
      </c>
    </row>
    <row r="382" spans="1:14" x14ac:dyDescent="0.3">
      <c r="A382" s="2">
        <v>46158</v>
      </c>
      <c r="B382" s="3">
        <v>2026</v>
      </c>
      <c r="C382" s="3" t="s">
        <v>171</v>
      </c>
      <c r="D382" s="3" t="s">
        <v>244</v>
      </c>
      <c r="E382" s="3" t="s">
        <v>387</v>
      </c>
      <c r="F382" s="3" t="s">
        <v>388</v>
      </c>
      <c r="G382" s="3" t="s">
        <v>377</v>
      </c>
      <c r="H382" s="3" t="s">
        <v>28</v>
      </c>
      <c r="I382" s="3">
        <v>16</v>
      </c>
      <c r="J382" s="3">
        <v>111.25</v>
      </c>
      <c r="K382" s="3">
        <v>1003.15</v>
      </c>
      <c r="L382" s="7">
        <f t="shared" si="15"/>
        <v>1780</v>
      </c>
      <c r="M382" s="7">
        <f t="shared" si="16"/>
        <v>776.85</v>
      </c>
      <c r="N382" t="str">
        <f t="shared" si="17"/>
        <v>Medium</v>
      </c>
    </row>
    <row r="383" spans="1:14" x14ac:dyDescent="0.3">
      <c r="A383" s="4">
        <v>46038</v>
      </c>
      <c r="B383" s="5">
        <v>2026</v>
      </c>
      <c r="C383" s="5" t="s">
        <v>192</v>
      </c>
      <c r="D383" s="5" t="s">
        <v>176</v>
      </c>
      <c r="E383" s="5" t="s">
        <v>390</v>
      </c>
      <c r="F383" s="5" t="s">
        <v>391</v>
      </c>
      <c r="G383" s="5" t="s">
        <v>377</v>
      </c>
      <c r="H383" s="5" t="s">
        <v>28</v>
      </c>
      <c r="I383" s="5">
        <v>11</v>
      </c>
      <c r="J383" s="5">
        <v>227.9</v>
      </c>
      <c r="K383" s="5">
        <v>1736.6</v>
      </c>
      <c r="L383" s="7">
        <f t="shared" si="15"/>
        <v>2506.9</v>
      </c>
      <c r="M383" s="7">
        <f t="shared" si="16"/>
        <v>770.30000000000018</v>
      </c>
      <c r="N383" t="str">
        <f t="shared" si="17"/>
        <v>Medium</v>
      </c>
    </row>
    <row r="384" spans="1:14" x14ac:dyDescent="0.3">
      <c r="A384" s="2">
        <v>46144</v>
      </c>
      <c r="B384" s="3">
        <v>2026</v>
      </c>
      <c r="C384" s="3" t="s">
        <v>273</v>
      </c>
      <c r="D384" s="3" t="s">
        <v>257</v>
      </c>
      <c r="E384" s="3" t="s">
        <v>393</v>
      </c>
      <c r="F384" s="3" t="s">
        <v>394</v>
      </c>
      <c r="G384" s="3" t="s">
        <v>377</v>
      </c>
      <c r="H384" s="3" t="s">
        <v>39</v>
      </c>
      <c r="I384" s="3">
        <v>10</v>
      </c>
      <c r="J384" s="3">
        <v>180.01</v>
      </c>
      <c r="K384" s="3">
        <v>1096.32</v>
      </c>
      <c r="L384" s="7">
        <f t="shared" si="15"/>
        <v>1800.1</v>
      </c>
      <c r="M384" s="7">
        <f t="shared" si="16"/>
        <v>703.78</v>
      </c>
      <c r="N384" t="str">
        <f t="shared" si="17"/>
        <v>Medium</v>
      </c>
    </row>
    <row r="385" spans="1:14" x14ac:dyDescent="0.3">
      <c r="A385" s="4">
        <v>46234</v>
      </c>
      <c r="B385" s="5">
        <v>2026</v>
      </c>
      <c r="C385" s="5" t="s">
        <v>262</v>
      </c>
      <c r="D385" s="5" t="s">
        <v>38</v>
      </c>
      <c r="E385" s="5" t="s">
        <v>393</v>
      </c>
      <c r="F385" s="5" t="s">
        <v>394</v>
      </c>
      <c r="G385" s="5" t="s">
        <v>377</v>
      </c>
      <c r="H385" s="5" t="s">
        <v>16</v>
      </c>
      <c r="I385" s="5">
        <v>4</v>
      </c>
      <c r="J385" s="5">
        <v>332.17</v>
      </c>
      <c r="K385" s="5">
        <v>865.37</v>
      </c>
      <c r="L385" s="7">
        <f t="shared" si="15"/>
        <v>1328.68</v>
      </c>
      <c r="M385" s="7">
        <f t="shared" si="16"/>
        <v>463.31000000000006</v>
      </c>
      <c r="N385" t="str">
        <f t="shared" si="17"/>
        <v>Low</v>
      </c>
    </row>
    <row r="386" spans="1:14" x14ac:dyDescent="0.3">
      <c r="A386" s="2">
        <v>46386</v>
      </c>
      <c r="B386" s="3">
        <v>2026</v>
      </c>
      <c r="C386" s="3" t="s">
        <v>223</v>
      </c>
      <c r="D386" s="3" t="s">
        <v>296</v>
      </c>
      <c r="E386" s="3" t="s">
        <v>387</v>
      </c>
      <c r="F386" s="3" t="s">
        <v>388</v>
      </c>
      <c r="G386" s="3" t="s">
        <v>377</v>
      </c>
      <c r="H386" s="3" t="s">
        <v>21</v>
      </c>
      <c r="I386" s="3">
        <v>17</v>
      </c>
      <c r="J386" s="3">
        <v>61.13</v>
      </c>
      <c r="K386" s="3">
        <v>679.37</v>
      </c>
      <c r="L386" s="7">
        <f t="shared" si="15"/>
        <v>1039.21</v>
      </c>
      <c r="M386" s="7">
        <f t="shared" si="16"/>
        <v>359.84000000000003</v>
      </c>
      <c r="N386" t="str">
        <f t="shared" si="17"/>
        <v>Low</v>
      </c>
    </row>
    <row r="387" spans="1:14" x14ac:dyDescent="0.3">
      <c r="A387" s="4">
        <v>46296</v>
      </c>
      <c r="B387" s="5">
        <v>2026</v>
      </c>
      <c r="C387" s="5" t="s">
        <v>57</v>
      </c>
      <c r="D387" s="5" t="s">
        <v>351</v>
      </c>
      <c r="E387" s="5" t="s">
        <v>395</v>
      </c>
      <c r="F387" s="5" t="s">
        <v>396</v>
      </c>
      <c r="G387" s="5" t="s">
        <v>377</v>
      </c>
      <c r="H387" s="5" t="s">
        <v>28</v>
      </c>
      <c r="I387" s="5">
        <v>11</v>
      </c>
      <c r="J387" s="5">
        <v>145.1</v>
      </c>
      <c r="K387" s="5">
        <v>1180.55</v>
      </c>
      <c r="L387" s="7">
        <f t="shared" ref="L387:L450" si="18">I387*J387</f>
        <v>1596.1</v>
      </c>
      <c r="M387" s="7">
        <f t="shared" ref="M387:M450" si="19">L387-K387</f>
        <v>415.54999999999995</v>
      </c>
      <c r="N387" t="str">
        <f t="shared" ref="N387:N450" si="20">IF(L387&gt;=3000,"High",IF(L387&gt;=1500,"Medium","Low"))</f>
        <v>Medium</v>
      </c>
    </row>
    <row r="388" spans="1:14" x14ac:dyDescent="0.3">
      <c r="A388" s="2">
        <v>46095</v>
      </c>
      <c r="B388" s="3">
        <v>2026</v>
      </c>
      <c r="C388" s="3" t="s">
        <v>348</v>
      </c>
      <c r="D388" s="3" t="s">
        <v>415</v>
      </c>
      <c r="E388" s="3" t="s">
        <v>382</v>
      </c>
      <c r="F388" s="3" t="s">
        <v>383</v>
      </c>
      <c r="G388" s="3" t="s">
        <v>377</v>
      </c>
      <c r="H388" s="3" t="s">
        <v>28</v>
      </c>
      <c r="I388" s="3">
        <v>12</v>
      </c>
      <c r="J388" s="3">
        <v>245.29</v>
      </c>
      <c r="K388" s="3">
        <v>2053.31</v>
      </c>
      <c r="L388" s="7">
        <f t="shared" si="18"/>
        <v>2943.48</v>
      </c>
      <c r="M388" s="7">
        <f t="shared" si="19"/>
        <v>890.17000000000007</v>
      </c>
      <c r="N388" t="str">
        <f t="shared" si="20"/>
        <v>Medium</v>
      </c>
    </row>
    <row r="389" spans="1:14" x14ac:dyDescent="0.3">
      <c r="A389" s="4">
        <v>46135</v>
      </c>
      <c r="B389" s="5">
        <v>2026</v>
      </c>
      <c r="C389" s="5" t="s">
        <v>24</v>
      </c>
      <c r="D389" s="5" t="s">
        <v>178</v>
      </c>
      <c r="E389" s="5" t="s">
        <v>385</v>
      </c>
      <c r="F389" s="5" t="s">
        <v>386</v>
      </c>
      <c r="G389" s="5" t="s">
        <v>377</v>
      </c>
      <c r="H389" s="5" t="s">
        <v>16</v>
      </c>
      <c r="I389" s="5">
        <v>12</v>
      </c>
      <c r="J389" s="5">
        <v>91.77</v>
      </c>
      <c r="K389" s="5">
        <v>634.57000000000005</v>
      </c>
      <c r="L389" s="7">
        <f t="shared" si="18"/>
        <v>1101.24</v>
      </c>
      <c r="M389" s="7">
        <f t="shared" si="19"/>
        <v>466.66999999999996</v>
      </c>
      <c r="N389" t="str">
        <f t="shared" si="20"/>
        <v>Low</v>
      </c>
    </row>
    <row r="390" spans="1:14" x14ac:dyDescent="0.3">
      <c r="A390" s="2">
        <v>46379</v>
      </c>
      <c r="B390" s="3">
        <v>2026</v>
      </c>
      <c r="C390" s="3" t="s">
        <v>169</v>
      </c>
      <c r="D390" s="3" t="s">
        <v>267</v>
      </c>
      <c r="E390" s="3" t="s">
        <v>379</v>
      </c>
      <c r="F390" s="3" t="s">
        <v>380</v>
      </c>
      <c r="G390" s="3" t="s">
        <v>377</v>
      </c>
      <c r="H390" s="3" t="s">
        <v>39</v>
      </c>
      <c r="I390" s="3">
        <v>15</v>
      </c>
      <c r="J390" s="3">
        <v>150.11000000000001</v>
      </c>
      <c r="K390" s="3">
        <v>1497.83</v>
      </c>
      <c r="L390" s="7">
        <f t="shared" si="18"/>
        <v>2251.65</v>
      </c>
      <c r="M390" s="7">
        <f t="shared" si="19"/>
        <v>753.82000000000016</v>
      </c>
      <c r="N390" t="str">
        <f t="shared" si="20"/>
        <v>Medium</v>
      </c>
    </row>
    <row r="391" spans="1:14" x14ac:dyDescent="0.3">
      <c r="A391" s="4">
        <v>46210</v>
      </c>
      <c r="B391" s="5">
        <v>2026</v>
      </c>
      <c r="C391" s="5" t="s">
        <v>161</v>
      </c>
      <c r="D391" s="5" t="s">
        <v>149</v>
      </c>
      <c r="E391" s="5" t="s">
        <v>393</v>
      </c>
      <c r="F391" s="5" t="s">
        <v>394</v>
      </c>
      <c r="G391" s="5" t="s">
        <v>377</v>
      </c>
      <c r="H391" s="5" t="s">
        <v>21</v>
      </c>
      <c r="I391" s="5">
        <v>3</v>
      </c>
      <c r="J391" s="5">
        <v>284.04000000000002</v>
      </c>
      <c r="K391" s="5">
        <v>613.94000000000005</v>
      </c>
      <c r="L391" s="7">
        <f t="shared" si="18"/>
        <v>852.12000000000012</v>
      </c>
      <c r="M391" s="7">
        <f t="shared" si="19"/>
        <v>238.18000000000006</v>
      </c>
      <c r="N391" t="str">
        <f t="shared" si="20"/>
        <v>Low</v>
      </c>
    </row>
    <row r="392" spans="1:14" x14ac:dyDescent="0.3">
      <c r="A392" s="2">
        <v>46301</v>
      </c>
      <c r="B392" s="3">
        <v>2026</v>
      </c>
      <c r="C392" s="3" t="s">
        <v>78</v>
      </c>
      <c r="D392" s="3" t="s">
        <v>207</v>
      </c>
      <c r="E392" s="3" t="s">
        <v>393</v>
      </c>
      <c r="F392" s="3" t="s">
        <v>394</v>
      </c>
      <c r="G392" s="3" t="s">
        <v>377</v>
      </c>
      <c r="H392" s="3" t="s">
        <v>39</v>
      </c>
      <c r="I392" s="3">
        <v>9</v>
      </c>
      <c r="J392" s="3">
        <v>84.24</v>
      </c>
      <c r="K392" s="3">
        <v>534.59</v>
      </c>
      <c r="L392" s="7">
        <f t="shared" si="18"/>
        <v>758.16</v>
      </c>
      <c r="M392" s="7">
        <f t="shared" si="19"/>
        <v>223.56999999999994</v>
      </c>
      <c r="N392" t="str">
        <f t="shared" si="20"/>
        <v>Low</v>
      </c>
    </row>
    <row r="393" spans="1:14" x14ac:dyDescent="0.3">
      <c r="A393" s="4">
        <v>46331</v>
      </c>
      <c r="B393" s="5">
        <v>2026</v>
      </c>
      <c r="C393" s="5" t="s">
        <v>190</v>
      </c>
      <c r="D393" s="5" t="s">
        <v>73</v>
      </c>
      <c r="E393" s="5" t="s">
        <v>382</v>
      </c>
      <c r="F393" s="5" t="s">
        <v>383</v>
      </c>
      <c r="G393" s="5" t="s">
        <v>377</v>
      </c>
      <c r="H393" s="5" t="s">
        <v>21</v>
      </c>
      <c r="I393" s="5">
        <v>13</v>
      </c>
      <c r="J393" s="5">
        <v>246.01</v>
      </c>
      <c r="K393" s="5">
        <v>2619.58</v>
      </c>
      <c r="L393" s="7">
        <f t="shared" si="18"/>
        <v>3198.13</v>
      </c>
      <c r="M393" s="7">
        <f t="shared" si="19"/>
        <v>578.55000000000018</v>
      </c>
      <c r="N393" t="str">
        <f t="shared" si="20"/>
        <v>High</v>
      </c>
    </row>
    <row r="394" spans="1:14" x14ac:dyDescent="0.3">
      <c r="A394" s="2">
        <v>46209</v>
      </c>
      <c r="B394" s="3">
        <v>2026</v>
      </c>
      <c r="C394" s="3" t="s">
        <v>29</v>
      </c>
      <c r="D394" s="3" t="s">
        <v>312</v>
      </c>
      <c r="E394" s="3" t="s">
        <v>375</v>
      </c>
      <c r="F394" s="3" t="s">
        <v>376</v>
      </c>
      <c r="G394" s="3" t="s">
        <v>377</v>
      </c>
      <c r="H394" s="3" t="s">
        <v>16</v>
      </c>
      <c r="I394" s="3">
        <v>7</v>
      </c>
      <c r="J394" s="3">
        <v>431.12</v>
      </c>
      <c r="K394" s="3">
        <v>2003.11</v>
      </c>
      <c r="L394" s="7">
        <f t="shared" si="18"/>
        <v>3017.84</v>
      </c>
      <c r="M394" s="7">
        <f t="shared" si="19"/>
        <v>1014.7300000000002</v>
      </c>
      <c r="N394" t="str">
        <f t="shared" si="20"/>
        <v>High</v>
      </c>
    </row>
    <row r="395" spans="1:14" x14ac:dyDescent="0.3">
      <c r="A395" s="4">
        <v>46121</v>
      </c>
      <c r="B395" s="5">
        <v>2026</v>
      </c>
      <c r="C395" s="5" t="s">
        <v>188</v>
      </c>
      <c r="D395" s="5" t="s">
        <v>302</v>
      </c>
      <c r="E395" s="5" t="s">
        <v>393</v>
      </c>
      <c r="F395" s="5" t="s">
        <v>394</v>
      </c>
      <c r="G395" s="5" t="s">
        <v>377</v>
      </c>
      <c r="H395" s="5" t="s">
        <v>39</v>
      </c>
      <c r="I395" s="5">
        <v>12</v>
      </c>
      <c r="J395" s="5">
        <v>238.68</v>
      </c>
      <c r="K395" s="5">
        <v>1837.93</v>
      </c>
      <c r="L395" s="7">
        <f t="shared" si="18"/>
        <v>2864.16</v>
      </c>
      <c r="M395" s="7">
        <f t="shared" si="19"/>
        <v>1026.2299999999998</v>
      </c>
      <c r="N395" t="str">
        <f t="shared" si="20"/>
        <v>Medium</v>
      </c>
    </row>
    <row r="396" spans="1:14" x14ac:dyDescent="0.3">
      <c r="A396" s="2">
        <v>46089</v>
      </c>
      <c r="B396" s="3">
        <v>2026</v>
      </c>
      <c r="C396" s="3" t="s">
        <v>112</v>
      </c>
      <c r="D396" s="3" t="s">
        <v>332</v>
      </c>
      <c r="E396" s="3" t="s">
        <v>395</v>
      </c>
      <c r="F396" s="3" t="s">
        <v>396</v>
      </c>
      <c r="G396" s="3" t="s">
        <v>377</v>
      </c>
      <c r="H396" s="3" t="s">
        <v>16</v>
      </c>
      <c r="I396" s="3">
        <v>1</v>
      </c>
      <c r="J396" s="3">
        <v>412.86</v>
      </c>
      <c r="K396" s="3">
        <v>212.96</v>
      </c>
      <c r="L396" s="7">
        <f t="shared" si="18"/>
        <v>412.86</v>
      </c>
      <c r="M396" s="7">
        <f t="shared" si="19"/>
        <v>199.9</v>
      </c>
      <c r="N396" t="str">
        <f t="shared" si="20"/>
        <v>Low</v>
      </c>
    </row>
    <row r="397" spans="1:14" x14ac:dyDescent="0.3">
      <c r="A397" s="4">
        <v>46171</v>
      </c>
      <c r="B397" s="5">
        <v>2026</v>
      </c>
      <c r="C397" s="5" t="s">
        <v>44</v>
      </c>
      <c r="D397" s="5" t="s">
        <v>54</v>
      </c>
      <c r="E397" s="5" t="s">
        <v>390</v>
      </c>
      <c r="F397" s="5" t="s">
        <v>391</v>
      </c>
      <c r="G397" s="5" t="s">
        <v>377</v>
      </c>
      <c r="H397" s="5" t="s">
        <v>39</v>
      </c>
      <c r="I397" s="5">
        <v>2</v>
      </c>
      <c r="J397" s="5">
        <v>421.01</v>
      </c>
      <c r="K397" s="5">
        <v>545.1</v>
      </c>
      <c r="L397" s="7">
        <f t="shared" si="18"/>
        <v>842.02</v>
      </c>
      <c r="M397" s="7">
        <f t="shared" si="19"/>
        <v>296.91999999999996</v>
      </c>
      <c r="N397" t="str">
        <f t="shared" si="20"/>
        <v>Low</v>
      </c>
    </row>
    <row r="398" spans="1:14" x14ac:dyDescent="0.3">
      <c r="A398" s="2">
        <v>46027</v>
      </c>
      <c r="B398" s="3">
        <v>2026</v>
      </c>
      <c r="C398" s="3" t="s">
        <v>186</v>
      </c>
      <c r="D398" s="3" t="s">
        <v>159</v>
      </c>
      <c r="E398" s="3" t="s">
        <v>379</v>
      </c>
      <c r="F398" s="3" t="s">
        <v>380</v>
      </c>
      <c r="G398" s="3" t="s">
        <v>377</v>
      </c>
      <c r="H398" s="3" t="s">
        <v>21</v>
      </c>
      <c r="I398" s="3">
        <v>8</v>
      </c>
      <c r="J398" s="3">
        <v>419.86</v>
      </c>
      <c r="K398" s="3">
        <v>2222.79</v>
      </c>
      <c r="L398" s="7">
        <f t="shared" si="18"/>
        <v>3358.88</v>
      </c>
      <c r="M398" s="7">
        <f t="shared" si="19"/>
        <v>1136.0900000000001</v>
      </c>
      <c r="N398" t="str">
        <f t="shared" si="20"/>
        <v>High</v>
      </c>
    </row>
    <row r="399" spans="1:14" x14ac:dyDescent="0.3">
      <c r="A399" s="4">
        <v>46306</v>
      </c>
      <c r="B399" s="5">
        <v>2026</v>
      </c>
      <c r="C399" s="5" t="s">
        <v>206</v>
      </c>
      <c r="D399" s="5" t="s">
        <v>416</v>
      </c>
      <c r="E399" s="5" t="s">
        <v>382</v>
      </c>
      <c r="F399" s="5" t="s">
        <v>383</v>
      </c>
      <c r="G399" s="5" t="s">
        <v>377</v>
      </c>
      <c r="H399" s="5" t="s">
        <v>39</v>
      </c>
      <c r="I399" s="5">
        <v>6</v>
      </c>
      <c r="J399" s="5">
        <v>196.21</v>
      </c>
      <c r="K399" s="5">
        <v>713.83</v>
      </c>
      <c r="L399" s="7">
        <f t="shared" si="18"/>
        <v>1177.26</v>
      </c>
      <c r="M399" s="7">
        <f t="shared" si="19"/>
        <v>463.42999999999995</v>
      </c>
      <c r="N399" t="str">
        <f t="shared" si="20"/>
        <v>Low</v>
      </c>
    </row>
    <row r="400" spans="1:14" x14ac:dyDescent="0.3">
      <c r="A400" s="2">
        <v>46053</v>
      </c>
      <c r="B400" s="3">
        <v>2026</v>
      </c>
      <c r="C400" s="3" t="s">
        <v>161</v>
      </c>
      <c r="D400" s="3" t="s">
        <v>208</v>
      </c>
      <c r="E400" s="3" t="s">
        <v>379</v>
      </c>
      <c r="F400" s="3" t="s">
        <v>380</v>
      </c>
      <c r="G400" s="3" t="s">
        <v>377</v>
      </c>
      <c r="H400" s="3" t="s">
        <v>16</v>
      </c>
      <c r="I400" s="3">
        <v>8</v>
      </c>
      <c r="J400" s="3">
        <v>222.57</v>
      </c>
      <c r="K400" s="3">
        <v>1163.6300000000001</v>
      </c>
      <c r="L400" s="7">
        <f t="shared" si="18"/>
        <v>1780.56</v>
      </c>
      <c r="M400" s="7">
        <f t="shared" si="19"/>
        <v>616.92999999999984</v>
      </c>
      <c r="N400" t="str">
        <f t="shared" si="20"/>
        <v>Medium</v>
      </c>
    </row>
    <row r="401" spans="1:14" x14ac:dyDescent="0.3">
      <c r="A401" s="4">
        <v>46043</v>
      </c>
      <c r="B401" s="5">
        <v>2026</v>
      </c>
      <c r="C401" s="5" t="s">
        <v>92</v>
      </c>
      <c r="D401" s="5" t="s">
        <v>49</v>
      </c>
      <c r="E401" s="5" t="s">
        <v>379</v>
      </c>
      <c r="F401" s="5" t="s">
        <v>380</v>
      </c>
      <c r="G401" s="5" t="s">
        <v>377</v>
      </c>
      <c r="H401" s="5" t="s">
        <v>21</v>
      </c>
      <c r="I401" s="5">
        <v>10</v>
      </c>
      <c r="J401" s="5">
        <v>488.89</v>
      </c>
      <c r="K401" s="5">
        <v>3375.15</v>
      </c>
      <c r="L401" s="7">
        <f t="shared" si="18"/>
        <v>4888.8999999999996</v>
      </c>
      <c r="M401" s="7">
        <f t="shared" si="19"/>
        <v>1513.7499999999995</v>
      </c>
      <c r="N401" t="str">
        <f t="shared" si="20"/>
        <v>High</v>
      </c>
    </row>
    <row r="402" spans="1:14" x14ac:dyDescent="0.3">
      <c r="A402" s="2">
        <v>46355</v>
      </c>
      <c r="B402" s="3">
        <v>2026</v>
      </c>
      <c r="C402" s="3" t="s">
        <v>212</v>
      </c>
      <c r="D402" s="3" t="s">
        <v>203</v>
      </c>
      <c r="E402" s="3" t="s">
        <v>390</v>
      </c>
      <c r="F402" s="3" t="s">
        <v>391</v>
      </c>
      <c r="G402" s="3" t="s">
        <v>377</v>
      </c>
      <c r="H402" s="3" t="s">
        <v>16</v>
      </c>
      <c r="I402" s="3">
        <v>3</v>
      </c>
      <c r="J402" s="3">
        <v>237.43</v>
      </c>
      <c r="K402" s="3">
        <v>455.96</v>
      </c>
      <c r="L402" s="7">
        <f t="shared" si="18"/>
        <v>712.29</v>
      </c>
      <c r="M402" s="7">
        <f t="shared" si="19"/>
        <v>256.33</v>
      </c>
      <c r="N402" t="str">
        <f t="shared" si="20"/>
        <v>Low</v>
      </c>
    </row>
    <row r="403" spans="1:14" x14ac:dyDescent="0.3">
      <c r="A403" s="4">
        <v>46281</v>
      </c>
      <c r="B403" s="5">
        <v>2026</v>
      </c>
      <c r="C403" s="5" t="s">
        <v>161</v>
      </c>
      <c r="D403" s="5" t="s">
        <v>191</v>
      </c>
      <c r="E403" s="5" t="s">
        <v>395</v>
      </c>
      <c r="F403" s="5" t="s">
        <v>396</v>
      </c>
      <c r="G403" s="5" t="s">
        <v>377</v>
      </c>
      <c r="H403" s="5" t="s">
        <v>16</v>
      </c>
      <c r="I403" s="5">
        <v>14</v>
      </c>
      <c r="J403" s="5">
        <v>26.8</v>
      </c>
      <c r="K403" s="5">
        <v>291.69</v>
      </c>
      <c r="L403" s="7">
        <f t="shared" si="18"/>
        <v>375.2</v>
      </c>
      <c r="M403" s="7">
        <f t="shared" si="19"/>
        <v>83.509999999999991</v>
      </c>
      <c r="N403" t="str">
        <f t="shared" si="20"/>
        <v>Low</v>
      </c>
    </row>
    <row r="404" spans="1:14" x14ac:dyDescent="0.3">
      <c r="A404" s="2">
        <v>46204</v>
      </c>
      <c r="B404" s="3">
        <v>2026</v>
      </c>
      <c r="C404" s="3" t="s">
        <v>132</v>
      </c>
      <c r="D404" s="3" t="s">
        <v>417</v>
      </c>
      <c r="E404" s="3" t="s">
        <v>385</v>
      </c>
      <c r="F404" s="3" t="s">
        <v>386</v>
      </c>
      <c r="G404" s="3" t="s">
        <v>377</v>
      </c>
      <c r="H404" s="3" t="s">
        <v>28</v>
      </c>
      <c r="I404" s="3">
        <v>5</v>
      </c>
      <c r="J404" s="3">
        <v>107.92</v>
      </c>
      <c r="K404" s="3">
        <v>364.7</v>
      </c>
      <c r="L404" s="7">
        <f t="shared" si="18"/>
        <v>539.6</v>
      </c>
      <c r="M404" s="7">
        <f t="shared" si="19"/>
        <v>174.90000000000003</v>
      </c>
      <c r="N404" t="str">
        <f t="shared" si="20"/>
        <v>Low</v>
      </c>
    </row>
    <row r="405" spans="1:14" x14ac:dyDescent="0.3">
      <c r="A405" s="4">
        <v>46224</v>
      </c>
      <c r="B405" s="5">
        <v>2026</v>
      </c>
      <c r="C405" s="5" t="s">
        <v>94</v>
      </c>
      <c r="D405" s="5" t="s">
        <v>301</v>
      </c>
      <c r="E405" s="5" t="s">
        <v>64</v>
      </c>
      <c r="F405" s="5" t="s">
        <v>65</v>
      </c>
      <c r="G405" s="5" t="s">
        <v>15</v>
      </c>
      <c r="H405" s="5" t="s">
        <v>28</v>
      </c>
      <c r="I405" s="5">
        <v>18</v>
      </c>
      <c r="J405" s="5">
        <v>478.01</v>
      </c>
      <c r="K405" s="5">
        <v>5144.46</v>
      </c>
      <c r="L405" s="7">
        <f t="shared" si="18"/>
        <v>8604.18</v>
      </c>
      <c r="M405" s="7">
        <f t="shared" si="19"/>
        <v>3459.7200000000003</v>
      </c>
      <c r="N405" t="str">
        <f t="shared" si="20"/>
        <v>High</v>
      </c>
    </row>
    <row r="406" spans="1:14" x14ac:dyDescent="0.3">
      <c r="A406" s="2">
        <v>46115</v>
      </c>
      <c r="B406" s="3">
        <v>2026</v>
      </c>
      <c r="C406" s="3" t="s">
        <v>413</v>
      </c>
      <c r="D406" s="3" t="s">
        <v>336</v>
      </c>
      <c r="E406" s="3" t="s">
        <v>13</v>
      </c>
      <c r="F406" s="3" t="s">
        <v>14</v>
      </c>
      <c r="G406" s="3" t="s">
        <v>15</v>
      </c>
      <c r="H406" s="3" t="s">
        <v>16</v>
      </c>
      <c r="I406" s="3">
        <v>16</v>
      </c>
      <c r="J406" s="3">
        <v>328.88</v>
      </c>
      <c r="K406" s="3">
        <v>3220.64</v>
      </c>
      <c r="L406" s="7">
        <f t="shared" si="18"/>
        <v>5262.08</v>
      </c>
      <c r="M406" s="7">
        <f t="shared" si="19"/>
        <v>2041.44</v>
      </c>
      <c r="N406" t="str">
        <f t="shared" si="20"/>
        <v>High</v>
      </c>
    </row>
    <row r="407" spans="1:14" x14ac:dyDescent="0.3">
      <c r="A407" s="4">
        <v>46247</v>
      </c>
      <c r="B407" s="5">
        <v>2026</v>
      </c>
      <c r="C407" s="5" t="s">
        <v>163</v>
      </c>
      <c r="D407" s="5" t="s">
        <v>225</v>
      </c>
      <c r="E407" s="5" t="s">
        <v>31</v>
      </c>
      <c r="F407" s="5" t="s">
        <v>32</v>
      </c>
      <c r="G407" s="5" t="s">
        <v>15</v>
      </c>
      <c r="H407" s="5" t="s">
        <v>39</v>
      </c>
      <c r="I407" s="5">
        <v>14</v>
      </c>
      <c r="J407" s="5">
        <v>438.42</v>
      </c>
      <c r="K407" s="5">
        <v>3866.28</v>
      </c>
      <c r="L407" s="7">
        <f t="shared" si="18"/>
        <v>6137.88</v>
      </c>
      <c r="M407" s="7">
        <f t="shared" si="19"/>
        <v>2271.6</v>
      </c>
      <c r="N407" t="str">
        <f t="shared" si="20"/>
        <v>High</v>
      </c>
    </row>
    <row r="408" spans="1:14" x14ac:dyDescent="0.3">
      <c r="A408" s="2">
        <v>46121</v>
      </c>
      <c r="B408" s="3">
        <v>2026</v>
      </c>
      <c r="C408" s="3" t="s">
        <v>163</v>
      </c>
      <c r="D408" s="3" t="s">
        <v>346</v>
      </c>
      <c r="E408" s="3" t="s">
        <v>35</v>
      </c>
      <c r="F408" s="3" t="s">
        <v>36</v>
      </c>
      <c r="G408" s="3" t="s">
        <v>15</v>
      </c>
      <c r="H408" s="3" t="s">
        <v>16</v>
      </c>
      <c r="I408" s="3">
        <v>14</v>
      </c>
      <c r="J408" s="3">
        <v>461</v>
      </c>
      <c r="K408" s="3">
        <v>4282.99</v>
      </c>
      <c r="L408" s="7">
        <f t="shared" si="18"/>
        <v>6454</v>
      </c>
      <c r="M408" s="7">
        <f t="shared" si="19"/>
        <v>2171.0100000000002</v>
      </c>
      <c r="N408" t="str">
        <f t="shared" si="20"/>
        <v>High</v>
      </c>
    </row>
    <row r="409" spans="1:14" x14ac:dyDescent="0.3">
      <c r="A409" s="4">
        <v>46265</v>
      </c>
      <c r="B409" s="5">
        <v>2026</v>
      </c>
      <c r="C409" s="5" t="s">
        <v>279</v>
      </c>
      <c r="D409" s="5" t="s">
        <v>418</v>
      </c>
      <c r="E409" s="5" t="s">
        <v>26</v>
      </c>
      <c r="F409" s="5" t="s">
        <v>27</v>
      </c>
      <c r="G409" s="5" t="s">
        <v>15</v>
      </c>
      <c r="H409" s="5" t="s">
        <v>28</v>
      </c>
      <c r="I409" s="5">
        <v>17</v>
      </c>
      <c r="J409" s="5">
        <v>481.04</v>
      </c>
      <c r="K409" s="5">
        <v>5518.53</v>
      </c>
      <c r="L409" s="7">
        <f t="shared" si="18"/>
        <v>8177.68</v>
      </c>
      <c r="M409" s="7">
        <f t="shared" si="19"/>
        <v>2659.1500000000005</v>
      </c>
      <c r="N409" t="str">
        <f t="shared" si="20"/>
        <v>High</v>
      </c>
    </row>
    <row r="410" spans="1:14" x14ac:dyDescent="0.3">
      <c r="A410" s="2">
        <v>46311</v>
      </c>
      <c r="B410" s="3">
        <v>2026</v>
      </c>
      <c r="C410" s="3" t="s">
        <v>94</v>
      </c>
      <c r="D410" s="3" t="s">
        <v>231</v>
      </c>
      <c r="E410" s="3" t="s">
        <v>26</v>
      </c>
      <c r="F410" s="3" t="s">
        <v>27</v>
      </c>
      <c r="G410" s="3" t="s">
        <v>15</v>
      </c>
      <c r="H410" s="3" t="s">
        <v>39</v>
      </c>
      <c r="I410" s="3">
        <v>18</v>
      </c>
      <c r="J410" s="3">
        <v>361.23</v>
      </c>
      <c r="K410" s="3">
        <v>4393.2</v>
      </c>
      <c r="L410" s="7">
        <f t="shared" si="18"/>
        <v>6502.14</v>
      </c>
      <c r="M410" s="7">
        <f t="shared" si="19"/>
        <v>2108.9400000000005</v>
      </c>
      <c r="N410" t="str">
        <f t="shared" si="20"/>
        <v>High</v>
      </c>
    </row>
    <row r="411" spans="1:14" x14ac:dyDescent="0.3">
      <c r="A411" s="4">
        <v>46318</v>
      </c>
      <c r="B411" s="5">
        <v>2026</v>
      </c>
      <c r="C411" s="5" t="s">
        <v>24</v>
      </c>
      <c r="D411" s="5" t="s">
        <v>51</v>
      </c>
      <c r="E411" s="5" t="s">
        <v>35</v>
      </c>
      <c r="F411" s="5" t="s">
        <v>36</v>
      </c>
      <c r="G411" s="5" t="s">
        <v>15</v>
      </c>
      <c r="H411" s="5" t="s">
        <v>28</v>
      </c>
      <c r="I411" s="5">
        <v>20</v>
      </c>
      <c r="J411" s="5">
        <v>277.73</v>
      </c>
      <c r="K411" s="5">
        <v>3222.86</v>
      </c>
      <c r="L411" s="7">
        <f t="shared" si="18"/>
        <v>5554.6</v>
      </c>
      <c r="M411" s="7">
        <f t="shared" si="19"/>
        <v>2331.7400000000002</v>
      </c>
      <c r="N411" t="str">
        <f t="shared" si="20"/>
        <v>High</v>
      </c>
    </row>
    <row r="412" spans="1:14" x14ac:dyDescent="0.3">
      <c r="A412" s="2">
        <v>46362</v>
      </c>
      <c r="B412" s="3">
        <v>2026</v>
      </c>
      <c r="C412" s="3" t="s">
        <v>57</v>
      </c>
      <c r="D412" s="3" t="s">
        <v>109</v>
      </c>
      <c r="E412" s="3" t="s">
        <v>26</v>
      </c>
      <c r="F412" s="3" t="s">
        <v>27</v>
      </c>
      <c r="G412" s="3" t="s">
        <v>15</v>
      </c>
      <c r="H412" s="3" t="s">
        <v>39</v>
      </c>
      <c r="I412" s="3">
        <v>11</v>
      </c>
      <c r="J412" s="3">
        <v>486.56</v>
      </c>
      <c r="K412" s="3">
        <v>3415.88</v>
      </c>
      <c r="L412" s="7">
        <f t="shared" si="18"/>
        <v>5352.16</v>
      </c>
      <c r="M412" s="7">
        <f t="shared" si="19"/>
        <v>1936.2799999999997</v>
      </c>
      <c r="N412" t="str">
        <f t="shared" si="20"/>
        <v>High</v>
      </c>
    </row>
    <row r="413" spans="1:14" x14ac:dyDescent="0.3">
      <c r="A413" s="4">
        <v>46150</v>
      </c>
      <c r="B413" s="5">
        <v>2026</v>
      </c>
      <c r="C413" s="5" t="s">
        <v>183</v>
      </c>
      <c r="D413" s="5" t="s">
        <v>235</v>
      </c>
      <c r="E413" s="5" t="s">
        <v>19</v>
      </c>
      <c r="F413" s="5" t="s">
        <v>20</v>
      </c>
      <c r="G413" s="5" t="s">
        <v>15</v>
      </c>
      <c r="H413" s="5" t="s">
        <v>39</v>
      </c>
      <c r="I413" s="5">
        <v>20</v>
      </c>
      <c r="J413" s="5">
        <v>286.11</v>
      </c>
      <c r="K413" s="5">
        <v>3596.9</v>
      </c>
      <c r="L413" s="7">
        <f t="shared" si="18"/>
        <v>5722.2000000000007</v>
      </c>
      <c r="M413" s="7">
        <f t="shared" si="19"/>
        <v>2125.3000000000006</v>
      </c>
      <c r="N413" t="str">
        <f t="shared" si="20"/>
        <v>High</v>
      </c>
    </row>
    <row r="414" spans="1:14" x14ac:dyDescent="0.3">
      <c r="A414" s="2">
        <v>46039</v>
      </c>
      <c r="B414" s="3">
        <v>2026</v>
      </c>
      <c r="C414" s="3" t="s">
        <v>158</v>
      </c>
      <c r="D414" s="3" t="s">
        <v>419</v>
      </c>
      <c r="E414" s="3" t="s">
        <v>19</v>
      </c>
      <c r="F414" s="3" t="s">
        <v>20</v>
      </c>
      <c r="G414" s="3" t="s">
        <v>15</v>
      </c>
      <c r="H414" s="3" t="s">
        <v>39</v>
      </c>
      <c r="I414" s="3">
        <v>18</v>
      </c>
      <c r="J414" s="3">
        <v>382.03</v>
      </c>
      <c r="K414" s="3">
        <v>4363.03</v>
      </c>
      <c r="L414" s="7">
        <f t="shared" si="18"/>
        <v>6876.5399999999991</v>
      </c>
      <c r="M414" s="7">
        <f t="shared" si="19"/>
        <v>2513.5099999999993</v>
      </c>
      <c r="N414" t="str">
        <f t="shared" si="20"/>
        <v>High</v>
      </c>
    </row>
    <row r="415" spans="1:14" x14ac:dyDescent="0.3">
      <c r="A415" s="4">
        <v>46377</v>
      </c>
      <c r="B415" s="5">
        <v>2026</v>
      </c>
      <c r="C415" s="5" t="s">
        <v>70</v>
      </c>
      <c r="D415" s="5" t="s">
        <v>420</v>
      </c>
      <c r="E415" s="5" t="s">
        <v>35</v>
      </c>
      <c r="F415" s="5" t="s">
        <v>36</v>
      </c>
      <c r="G415" s="5" t="s">
        <v>15</v>
      </c>
      <c r="H415" s="5" t="s">
        <v>28</v>
      </c>
      <c r="I415" s="5">
        <v>17</v>
      </c>
      <c r="J415" s="5">
        <v>359</v>
      </c>
      <c r="K415" s="5">
        <v>3402.63</v>
      </c>
      <c r="L415" s="7">
        <f t="shared" si="18"/>
        <v>6103</v>
      </c>
      <c r="M415" s="7">
        <f t="shared" si="19"/>
        <v>2700.37</v>
      </c>
      <c r="N415" t="str">
        <f t="shared" si="20"/>
        <v>High</v>
      </c>
    </row>
    <row r="416" spans="1:14" x14ac:dyDescent="0.3">
      <c r="A416" s="2">
        <v>46039</v>
      </c>
      <c r="B416" s="3">
        <v>2026</v>
      </c>
      <c r="C416" s="3" t="s">
        <v>300</v>
      </c>
      <c r="D416" s="3" t="s">
        <v>219</v>
      </c>
      <c r="E416" s="3" t="s">
        <v>42</v>
      </c>
      <c r="F416" s="3" t="s">
        <v>43</v>
      </c>
      <c r="G416" s="3" t="s">
        <v>15</v>
      </c>
      <c r="H416" s="3" t="s">
        <v>16</v>
      </c>
      <c r="I416" s="3">
        <v>20</v>
      </c>
      <c r="J416" s="3">
        <v>264.44</v>
      </c>
      <c r="K416" s="3">
        <v>3788.33</v>
      </c>
      <c r="L416" s="7">
        <f t="shared" si="18"/>
        <v>5288.8</v>
      </c>
      <c r="M416" s="7">
        <f t="shared" si="19"/>
        <v>1500.4700000000003</v>
      </c>
      <c r="N416" t="str">
        <f t="shared" si="20"/>
        <v>High</v>
      </c>
    </row>
    <row r="417" spans="1:14" x14ac:dyDescent="0.3">
      <c r="A417" s="4">
        <v>46165</v>
      </c>
      <c r="B417" s="5">
        <v>2026</v>
      </c>
      <c r="C417" s="5" t="s">
        <v>329</v>
      </c>
      <c r="D417" s="5" t="s">
        <v>25</v>
      </c>
      <c r="E417" s="5" t="s">
        <v>31</v>
      </c>
      <c r="F417" s="5" t="s">
        <v>32</v>
      </c>
      <c r="G417" s="5" t="s">
        <v>15</v>
      </c>
      <c r="H417" s="5" t="s">
        <v>16</v>
      </c>
      <c r="I417" s="5">
        <v>20</v>
      </c>
      <c r="J417" s="5">
        <v>461.39</v>
      </c>
      <c r="K417" s="5">
        <v>6447.22</v>
      </c>
      <c r="L417" s="7">
        <f t="shared" si="18"/>
        <v>9227.7999999999993</v>
      </c>
      <c r="M417" s="7">
        <f t="shared" si="19"/>
        <v>2780.579999999999</v>
      </c>
      <c r="N417" t="str">
        <f t="shared" si="20"/>
        <v>High</v>
      </c>
    </row>
    <row r="418" spans="1:14" x14ac:dyDescent="0.3">
      <c r="A418" s="2">
        <v>46123</v>
      </c>
      <c r="B418" s="3">
        <v>2026</v>
      </c>
      <c r="C418" s="3" t="s">
        <v>331</v>
      </c>
      <c r="D418" s="3" t="s">
        <v>48</v>
      </c>
      <c r="E418" s="3" t="s">
        <v>42</v>
      </c>
      <c r="F418" s="3" t="s">
        <v>43</v>
      </c>
      <c r="G418" s="3" t="s">
        <v>15</v>
      </c>
      <c r="H418" s="3" t="s">
        <v>28</v>
      </c>
      <c r="I418" s="3">
        <v>20</v>
      </c>
      <c r="J418" s="3">
        <v>476.7</v>
      </c>
      <c r="K418" s="3">
        <v>6104.14</v>
      </c>
      <c r="L418" s="7">
        <f t="shared" si="18"/>
        <v>9534</v>
      </c>
      <c r="M418" s="7">
        <f t="shared" si="19"/>
        <v>3429.8599999999997</v>
      </c>
      <c r="N418" t="str">
        <f t="shared" si="20"/>
        <v>High</v>
      </c>
    </row>
    <row r="419" spans="1:14" x14ac:dyDescent="0.3">
      <c r="A419" s="4">
        <v>46248</v>
      </c>
      <c r="B419" s="5">
        <v>2026</v>
      </c>
      <c r="C419" s="5" t="s">
        <v>204</v>
      </c>
      <c r="D419" s="5" t="s">
        <v>182</v>
      </c>
      <c r="E419" s="5" t="s">
        <v>64</v>
      </c>
      <c r="F419" s="5" t="s">
        <v>65</v>
      </c>
      <c r="G419" s="5" t="s">
        <v>15</v>
      </c>
      <c r="H419" s="5" t="s">
        <v>39</v>
      </c>
      <c r="I419" s="5">
        <v>16</v>
      </c>
      <c r="J419" s="5">
        <v>435.02</v>
      </c>
      <c r="K419" s="5">
        <v>4877.8999999999996</v>
      </c>
      <c r="L419" s="7">
        <f t="shared" si="18"/>
        <v>6960.32</v>
      </c>
      <c r="M419" s="7">
        <f t="shared" si="19"/>
        <v>2082.42</v>
      </c>
      <c r="N419" t="str">
        <f t="shared" si="20"/>
        <v>High</v>
      </c>
    </row>
    <row r="420" spans="1:14" x14ac:dyDescent="0.3">
      <c r="A420" s="2">
        <v>46050</v>
      </c>
      <c r="B420" s="3">
        <v>2026</v>
      </c>
      <c r="C420" s="3" t="s">
        <v>226</v>
      </c>
      <c r="D420" s="3" t="s">
        <v>62</v>
      </c>
      <c r="E420" s="3" t="s">
        <v>64</v>
      </c>
      <c r="F420" s="3" t="s">
        <v>65</v>
      </c>
      <c r="G420" s="3" t="s">
        <v>15</v>
      </c>
      <c r="H420" s="3" t="s">
        <v>16</v>
      </c>
      <c r="I420" s="3">
        <v>17</v>
      </c>
      <c r="J420" s="3">
        <v>424.2</v>
      </c>
      <c r="K420" s="3">
        <v>4515</v>
      </c>
      <c r="L420" s="7">
        <f t="shared" si="18"/>
        <v>7211.4</v>
      </c>
      <c r="M420" s="7">
        <f t="shared" si="19"/>
        <v>2696.3999999999996</v>
      </c>
      <c r="N420" t="str">
        <f t="shared" si="20"/>
        <v>High</v>
      </c>
    </row>
    <row r="421" spans="1:14" x14ac:dyDescent="0.3">
      <c r="A421" s="4">
        <v>46061</v>
      </c>
      <c r="B421" s="5">
        <v>2026</v>
      </c>
      <c r="C421" s="5" t="s">
        <v>132</v>
      </c>
      <c r="D421" s="5" t="s">
        <v>105</v>
      </c>
      <c r="E421" s="5" t="s">
        <v>64</v>
      </c>
      <c r="F421" s="5" t="s">
        <v>65</v>
      </c>
      <c r="G421" s="5" t="s">
        <v>15</v>
      </c>
      <c r="H421" s="5" t="s">
        <v>28</v>
      </c>
      <c r="I421" s="5">
        <v>18</v>
      </c>
      <c r="J421" s="5">
        <v>453.87</v>
      </c>
      <c r="K421" s="5">
        <v>4522.51</v>
      </c>
      <c r="L421" s="7">
        <f t="shared" si="18"/>
        <v>8169.66</v>
      </c>
      <c r="M421" s="7">
        <f t="shared" si="19"/>
        <v>3647.1499999999996</v>
      </c>
      <c r="N421" t="str">
        <f t="shared" si="20"/>
        <v>High</v>
      </c>
    </row>
    <row r="422" spans="1:14" x14ac:dyDescent="0.3">
      <c r="A422" s="2">
        <v>46265</v>
      </c>
      <c r="B422" s="3">
        <v>2026</v>
      </c>
      <c r="C422" s="3" t="s">
        <v>61</v>
      </c>
      <c r="D422" s="3" t="s">
        <v>417</v>
      </c>
      <c r="E422" s="3" t="s">
        <v>31</v>
      </c>
      <c r="F422" s="3" t="s">
        <v>32</v>
      </c>
      <c r="G422" s="3" t="s">
        <v>15</v>
      </c>
      <c r="H422" s="3" t="s">
        <v>16</v>
      </c>
      <c r="I422" s="3">
        <v>15</v>
      </c>
      <c r="J422" s="3">
        <v>334.8</v>
      </c>
      <c r="K422" s="3">
        <v>3221.49</v>
      </c>
      <c r="L422" s="7">
        <f t="shared" si="18"/>
        <v>5022</v>
      </c>
      <c r="M422" s="7">
        <f t="shared" si="19"/>
        <v>1800.5100000000002</v>
      </c>
      <c r="N422" t="str">
        <f t="shared" si="20"/>
        <v>High</v>
      </c>
    </row>
    <row r="423" spans="1:14" x14ac:dyDescent="0.3">
      <c r="A423" s="4">
        <v>46025</v>
      </c>
      <c r="B423" s="5">
        <v>2026</v>
      </c>
      <c r="C423" s="5" t="s">
        <v>57</v>
      </c>
      <c r="D423" s="5" t="s">
        <v>30</v>
      </c>
      <c r="E423" s="5" t="s">
        <v>153</v>
      </c>
      <c r="F423" s="5" t="s">
        <v>154</v>
      </c>
      <c r="G423" s="5" t="s">
        <v>120</v>
      </c>
      <c r="H423" s="5" t="s">
        <v>21</v>
      </c>
      <c r="I423" s="5">
        <v>15</v>
      </c>
      <c r="J423" s="5">
        <v>474.38</v>
      </c>
      <c r="K423" s="5">
        <v>5478.96</v>
      </c>
      <c r="L423" s="7">
        <f t="shared" si="18"/>
        <v>7115.7</v>
      </c>
      <c r="M423" s="7">
        <f t="shared" si="19"/>
        <v>1636.7399999999998</v>
      </c>
      <c r="N423" t="str">
        <f t="shared" si="20"/>
        <v>High</v>
      </c>
    </row>
    <row r="424" spans="1:14" x14ac:dyDescent="0.3">
      <c r="A424" s="2">
        <v>46296</v>
      </c>
      <c r="B424" s="3">
        <v>2026</v>
      </c>
      <c r="C424" s="3" t="s">
        <v>78</v>
      </c>
      <c r="D424" s="3" t="s">
        <v>187</v>
      </c>
      <c r="E424" s="3" t="s">
        <v>118</v>
      </c>
      <c r="F424" s="3" t="s">
        <v>119</v>
      </c>
      <c r="G424" s="3" t="s">
        <v>120</v>
      </c>
      <c r="H424" s="3" t="s">
        <v>39</v>
      </c>
      <c r="I424" s="3">
        <v>15</v>
      </c>
      <c r="J424" s="3">
        <v>350.77</v>
      </c>
      <c r="K424" s="3">
        <v>3038.92</v>
      </c>
      <c r="L424" s="7">
        <f t="shared" si="18"/>
        <v>5261.5499999999993</v>
      </c>
      <c r="M424" s="7">
        <f t="shared" si="19"/>
        <v>2222.6299999999992</v>
      </c>
      <c r="N424" t="str">
        <f t="shared" si="20"/>
        <v>High</v>
      </c>
    </row>
    <row r="425" spans="1:14" x14ac:dyDescent="0.3">
      <c r="A425" s="4">
        <v>46160</v>
      </c>
      <c r="B425" s="5">
        <v>2026</v>
      </c>
      <c r="C425" s="5" t="s">
        <v>110</v>
      </c>
      <c r="D425" s="5" t="s">
        <v>113</v>
      </c>
      <c r="E425" s="5" t="s">
        <v>145</v>
      </c>
      <c r="F425" s="5" t="s">
        <v>146</v>
      </c>
      <c r="G425" s="5" t="s">
        <v>120</v>
      </c>
      <c r="H425" s="5" t="s">
        <v>16</v>
      </c>
      <c r="I425" s="5">
        <v>19</v>
      </c>
      <c r="J425" s="5">
        <v>271.2</v>
      </c>
      <c r="K425" s="5">
        <v>3785.15</v>
      </c>
      <c r="L425" s="7">
        <f t="shared" si="18"/>
        <v>5152.8</v>
      </c>
      <c r="M425" s="7">
        <f t="shared" si="19"/>
        <v>1367.65</v>
      </c>
      <c r="N425" t="str">
        <f t="shared" si="20"/>
        <v>High</v>
      </c>
    </row>
    <row r="426" spans="1:14" x14ac:dyDescent="0.3">
      <c r="A426" s="2">
        <v>46101</v>
      </c>
      <c r="B426" s="3">
        <v>2026</v>
      </c>
      <c r="C426" s="3" t="s">
        <v>198</v>
      </c>
      <c r="D426" s="3" t="s">
        <v>421</v>
      </c>
      <c r="E426" s="3" t="s">
        <v>118</v>
      </c>
      <c r="F426" s="3" t="s">
        <v>119</v>
      </c>
      <c r="G426" s="3" t="s">
        <v>120</v>
      </c>
      <c r="H426" s="3" t="s">
        <v>16</v>
      </c>
      <c r="I426" s="3">
        <v>19</v>
      </c>
      <c r="J426" s="3">
        <v>332.94</v>
      </c>
      <c r="K426" s="3">
        <v>4662.28</v>
      </c>
      <c r="L426" s="7">
        <f t="shared" si="18"/>
        <v>6325.86</v>
      </c>
      <c r="M426" s="7">
        <f t="shared" si="19"/>
        <v>1663.58</v>
      </c>
      <c r="N426" t="str">
        <f t="shared" si="20"/>
        <v>High</v>
      </c>
    </row>
    <row r="427" spans="1:14" x14ac:dyDescent="0.3">
      <c r="A427" s="4">
        <v>46317</v>
      </c>
      <c r="B427" s="5">
        <v>2026</v>
      </c>
      <c r="C427" s="5" t="s">
        <v>82</v>
      </c>
      <c r="D427" s="5" t="s">
        <v>199</v>
      </c>
      <c r="E427" s="5" t="s">
        <v>153</v>
      </c>
      <c r="F427" s="5" t="s">
        <v>154</v>
      </c>
      <c r="G427" s="5" t="s">
        <v>120</v>
      </c>
      <c r="H427" s="5" t="s">
        <v>16</v>
      </c>
      <c r="I427" s="5">
        <v>14</v>
      </c>
      <c r="J427" s="5">
        <v>463.66</v>
      </c>
      <c r="K427" s="5">
        <v>4907.8</v>
      </c>
      <c r="L427" s="7">
        <f t="shared" si="18"/>
        <v>6491.2400000000007</v>
      </c>
      <c r="M427" s="7">
        <f t="shared" si="19"/>
        <v>1583.4400000000005</v>
      </c>
      <c r="N427" t="str">
        <f t="shared" si="20"/>
        <v>High</v>
      </c>
    </row>
    <row r="428" spans="1:14" x14ac:dyDescent="0.3">
      <c r="A428" s="2">
        <v>46224</v>
      </c>
      <c r="B428" s="3">
        <v>2026</v>
      </c>
      <c r="C428" s="3" t="s">
        <v>11</v>
      </c>
      <c r="D428" s="3" t="s">
        <v>159</v>
      </c>
      <c r="E428" s="3" t="s">
        <v>139</v>
      </c>
      <c r="F428" s="3" t="s">
        <v>140</v>
      </c>
      <c r="G428" s="3" t="s">
        <v>120</v>
      </c>
      <c r="H428" s="3" t="s">
        <v>28</v>
      </c>
      <c r="I428" s="3">
        <v>19</v>
      </c>
      <c r="J428" s="3">
        <v>399.51</v>
      </c>
      <c r="K428" s="3">
        <v>5336.15</v>
      </c>
      <c r="L428" s="7">
        <f t="shared" si="18"/>
        <v>7590.69</v>
      </c>
      <c r="M428" s="7">
        <f t="shared" si="19"/>
        <v>2254.54</v>
      </c>
      <c r="N428" t="str">
        <f t="shared" si="20"/>
        <v>High</v>
      </c>
    </row>
    <row r="429" spans="1:14" x14ac:dyDescent="0.3">
      <c r="A429" s="4">
        <v>46164</v>
      </c>
      <c r="B429" s="5">
        <v>2026</v>
      </c>
      <c r="C429" s="5" t="s">
        <v>163</v>
      </c>
      <c r="D429" s="5" t="s">
        <v>91</v>
      </c>
      <c r="E429" s="5" t="s">
        <v>118</v>
      </c>
      <c r="F429" s="5" t="s">
        <v>119</v>
      </c>
      <c r="G429" s="5" t="s">
        <v>120</v>
      </c>
      <c r="H429" s="5" t="s">
        <v>28</v>
      </c>
      <c r="I429" s="5">
        <v>15</v>
      </c>
      <c r="J429" s="5">
        <v>362.23</v>
      </c>
      <c r="K429" s="5">
        <v>4589.1499999999996</v>
      </c>
      <c r="L429" s="7">
        <f t="shared" si="18"/>
        <v>5433.4500000000007</v>
      </c>
      <c r="M429" s="7">
        <f t="shared" si="19"/>
        <v>844.30000000000109</v>
      </c>
      <c r="N429" t="str">
        <f t="shared" si="20"/>
        <v>High</v>
      </c>
    </row>
    <row r="430" spans="1:14" x14ac:dyDescent="0.3">
      <c r="A430" s="2">
        <v>46221</v>
      </c>
      <c r="B430" s="3">
        <v>2026</v>
      </c>
      <c r="C430" s="3" t="s">
        <v>71</v>
      </c>
      <c r="D430" s="3" t="s">
        <v>408</v>
      </c>
      <c r="E430" s="3" t="s">
        <v>136</v>
      </c>
      <c r="F430" s="3" t="s">
        <v>137</v>
      </c>
      <c r="G430" s="3" t="s">
        <v>120</v>
      </c>
      <c r="H430" s="3" t="s">
        <v>21</v>
      </c>
      <c r="I430" s="3">
        <v>14</v>
      </c>
      <c r="J430" s="3">
        <v>483.95</v>
      </c>
      <c r="K430" s="3">
        <v>4346.37</v>
      </c>
      <c r="L430" s="7">
        <f t="shared" si="18"/>
        <v>6775.3</v>
      </c>
      <c r="M430" s="7">
        <f t="shared" si="19"/>
        <v>2428.9300000000003</v>
      </c>
      <c r="N430" t="str">
        <f t="shared" si="20"/>
        <v>High</v>
      </c>
    </row>
    <row r="431" spans="1:14" x14ac:dyDescent="0.3">
      <c r="A431" s="4">
        <v>46150</v>
      </c>
      <c r="B431" s="5">
        <v>2026</v>
      </c>
      <c r="C431" s="5" t="s">
        <v>303</v>
      </c>
      <c r="D431" s="5" t="s">
        <v>272</v>
      </c>
      <c r="E431" s="5" t="s">
        <v>145</v>
      </c>
      <c r="F431" s="5" t="s">
        <v>146</v>
      </c>
      <c r="G431" s="5" t="s">
        <v>120</v>
      </c>
      <c r="H431" s="5" t="s">
        <v>28</v>
      </c>
      <c r="I431" s="5">
        <v>12</v>
      </c>
      <c r="J431" s="5">
        <v>495.92</v>
      </c>
      <c r="K431" s="5">
        <v>4206.84</v>
      </c>
      <c r="L431" s="7">
        <f t="shared" si="18"/>
        <v>5951.04</v>
      </c>
      <c r="M431" s="7">
        <f t="shared" si="19"/>
        <v>1744.1999999999998</v>
      </c>
      <c r="N431" t="str">
        <f t="shared" si="20"/>
        <v>High</v>
      </c>
    </row>
    <row r="432" spans="1:14" x14ac:dyDescent="0.3">
      <c r="A432" s="2">
        <v>46053</v>
      </c>
      <c r="B432" s="3">
        <v>2026</v>
      </c>
      <c r="C432" s="3" t="s">
        <v>33</v>
      </c>
      <c r="D432" s="3" t="s">
        <v>400</v>
      </c>
      <c r="E432" s="3" t="s">
        <v>118</v>
      </c>
      <c r="F432" s="3" t="s">
        <v>119</v>
      </c>
      <c r="G432" s="3" t="s">
        <v>120</v>
      </c>
      <c r="H432" s="3" t="s">
        <v>28</v>
      </c>
      <c r="I432" s="3">
        <v>20</v>
      </c>
      <c r="J432" s="3">
        <v>453.52</v>
      </c>
      <c r="K432" s="3">
        <v>6508.34</v>
      </c>
      <c r="L432" s="7">
        <f t="shared" si="18"/>
        <v>9070.4</v>
      </c>
      <c r="M432" s="7">
        <f t="shared" si="19"/>
        <v>2562.0599999999995</v>
      </c>
      <c r="N432" t="str">
        <f t="shared" si="20"/>
        <v>High</v>
      </c>
    </row>
    <row r="433" spans="1:14" x14ac:dyDescent="0.3">
      <c r="A433" s="4">
        <v>46309</v>
      </c>
      <c r="B433" s="5">
        <v>2026</v>
      </c>
      <c r="C433" s="5" t="s">
        <v>61</v>
      </c>
      <c r="D433" s="5" t="s">
        <v>18</v>
      </c>
      <c r="E433" s="5" t="s">
        <v>155</v>
      </c>
      <c r="F433" s="5" t="s">
        <v>156</v>
      </c>
      <c r="G433" s="5" t="s">
        <v>120</v>
      </c>
      <c r="H433" s="5" t="s">
        <v>39</v>
      </c>
      <c r="I433" s="5">
        <v>20</v>
      </c>
      <c r="J433" s="5">
        <v>334.19</v>
      </c>
      <c r="K433" s="5">
        <v>3852.72</v>
      </c>
      <c r="L433" s="7">
        <f t="shared" si="18"/>
        <v>6683.8</v>
      </c>
      <c r="M433" s="7">
        <f t="shared" si="19"/>
        <v>2831.0800000000004</v>
      </c>
      <c r="N433" t="str">
        <f t="shared" si="20"/>
        <v>High</v>
      </c>
    </row>
    <row r="434" spans="1:14" x14ac:dyDescent="0.3">
      <c r="A434" s="2">
        <v>46141</v>
      </c>
      <c r="B434" s="3">
        <v>2026</v>
      </c>
      <c r="C434" s="3" t="s">
        <v>132</v>
      </c>
      <c r="D434" s="3" t="s">
        <v>178</v>
      </c>
      <c r="E434" s="3" t="s">
        <v>139</v>
      </c>
      <c r="F434" s="3" t="s">
        <v>140</v>
      </c>
      <c r="G434" s="3" t="s">
        <v>120</v>
      </c>
      <c r="H434" s="3" t="s">
        <v>16</v>
      </c>
      <c r="I434" s="3">
        <v>20</v>
      </c>
      <c r="J434" s="3">
        <v>302.88</v>
      </c>
      <c r="K434" s="3">
        <v>4212.5200000000004</v>
      </c>
      <c r="L434" s="7">
        <f t="shared" si="18"/>
        <v>6057.6</v>
      </c>
      <c r="M434" s="7">
        <f t="shared" si="19"/>
        <v>1845.08</v>
      </c>
      <c r="N434" t="str">
        <f t="shared" si="20"/>
        <v>High</v>
      </c>
    </row>
    <row r="435" spans="1:14" x14ac:dyDescent="0.3">
      <c r="A435" s="4">
        <v>46053</v>
      </c>
      <c r="B435" s="5">
        <v>2026</v>
      </c>
      <c r="C435" s="5" t="s">
        <v>148</v>
      </c>
      <c r="D435" s="5" t="s">
        <v>371</v>
      </c>
      <c r="E435" s="5" t="s">
        <v>118</v>
      </c>
      <c r="F435" s="5" t="s">
        <v>119</v>
      </c>
      <c r="G435" s="5" t="s">
        <v>120</v>
      </c>
      <c r="H435" s="5" t="s">
        <v>21</v>
      </c>
      <c r="I435" s="5">
        <v>14</v>
      </c>
      <c r="J435" s="5">
        <v>472.01</v>
      </c>
      <c r="K435" s="5">
        <v>4733.74</v>
      </c>
      <c r="L435" s="7">
        <f t="shared" si="18"/>
        <v>6608.1399999999994</v>
      </c>
      <c r="M435" s="7">
        <f t="shared" si="19"/>
        <v>1874.3999999999996</v>
      </c>
      <c r="N435" t="str">
        <f t="shared" si="20"/>
        <v>High</v>
      </c>
    </row>
    <row r="436" spans="1:14" x14ac:dyDescent="0.3">
      <c r="A436" s="2">
        <v>46163</v>
      </c>
      <c r="B436" s="3">
        <v>2026</v>
      </c>
      <c r="C436" s="3" t="s">
        <v>223</v>
      </c>
      <c r="D436" s="3" t="s">
        <v>67</v>
      </c>
      <c r="E436" s="3" t="s">
        <v>153</v>
      </c>
      <c r="F436" s="3" t="s">
        <v>154</v>
      </c>
      <c r="G436" s="3" t="s">
        <v>120</v>
      </c>
      <c r="H436" s="3" t="s">
        <v>16</v>
      </c>
      <c r="I436" s="3">
        <v>17</v>
      </c>
      <c r="J436" s="3">
        <v>497.75</v>
      </c>
      <c r="K436" s="3">
        <v>6090.12</v>
      </c>
      <c r="L436" s="7">
        <f t="shared" si="18"/>
        <v>8461.75</v>
      </c>
      <c r="M436" s="7">
        <f t="shared" si="19"/>
        <v>2371.63</v>
      </c>
      <c r="N436" t="str">
        <f t="shared" si="20"/>
        <v>High</v>
      </c>
    </row>
    <row r="437" spans="1:14" x14ac:dyDescent="0.3">
      <c r="A437" s="4">
        <v>46171</v>
      </c>
      <c r="B437" s="5">
        <v>2026</v>
      </c>
      <c r="C437" s="5" t="s">
        <v>193</v>
      </c>
      <c r="D437" s="5" t="s">
        <v>99</v>
      </c>
      <c r="E437" s="5" t="s">
        <v>136</v>
      </c>
      <c r="F437" s="5" t="s">
        <v>137</v>
      </c>
      <c r="G437" s="5" t="s">
        <v>120</v>
      </c>
      <c r="H437" s="5" t="s">
        <v>28</v>
      </c>
      <c r="I437" s="5">
        <v>19</v>
      </c>
      <c r="J437" s="5">
        <v>304.41000000000003</v>
      </c>
      <c r="K437" s="5">
        <v>3243.05</v>
      </c>
      <c r="L437" s="7">
        <f t="shared" si="18"/>
        <v>5783.7900000000009</v>
      </c>
      <c r="M437" s="7">
        <f t="shared" si="19"/>
        <v>2540.7400000000007</v>
      </c>
      <c r="N437" t="str">
        <f t="shared" si="20"/>
        <v>High</v>
      </c>
    </row>
    <row r="438" spans="1:14" x14ac:dyDescent="0.3">
      <c r="A438" s="2">
        <v>46110</v>
      </c>
      <c r="B438" s="3">
        <v>2026</v>
      </c>
      <c r="C438" s="3" t="s">
        <v>212</v>
      </c>
      <c r="D438" s="3" t="s">
        <v>330</v>
      </c>
      <c r="E438" s="3" t="s">
        <v>155</v>
      </c>
      <c r="F438" s="3" t="s">
        <v>156</v>
      </c>
      <c r="G438" s="3" t="s">
        <v>120</v>
      </c>
      <c r="H438" s="3" t="s">
        <v>21</v>
      </c>
      <c r="I438" s="3">
        <v>20</v>
      </c>
      <c r="J438" s="3">
        <v>261.88</v>
      </c>
      <c r="K438" s="3">
        <v>3292.08</v>
      </c>
      <c r="L438" s="7">
        <f t="shared" si="18"/>
        <v>5237.6000000000004</v>
      </c>
      <c r="M438" s="7">
        <f t="shared" si="19"/>
        <v>1945.5200000000004</v>
      </c>
      <c r="N438" t="str">
        <f t="shared" si="20"/>
        <v>High</v>
      </c>
    </row>
    <row r="439" spans="1:14" x14ac:dyDescent="0.3">
      <c r="A439" s="4">
        <v>46170</v>
      </c>
      <c r="B439" s="5">
        <v>2026</v>
      </c>
      <c r="C439" s="5" t="s">
        <v>165</v>
      </c>
      <c r="D439" s="5" t="s">
        <v>302</v>
      </c>
      <c r="E439" s="5" t="s">
        <v>136</v>
      </c>
      <c r="F439" s="5" t="s">
        <v>137</v>
      </c>
      <c r="G439" s="5" t="s">
        <v>120</v>
      </c>
      <c r="H439" s="5" t="s">
        <v>16</v>
      </c>
      <c r="I439" s="5">
        <v>13</v>
      </c>
      <c r="J439" s="5">
        <v>397.78</v>
      </c>
      <c r="K439" s="5">
        <v>3531.68</v>
      </c>
      <c r="L439" s="7">
        <f t="shared" si="18"/>
        <v>5171.1399999999994</v>
      </c>
      <c r="M439" s="7">
        <f t="shared" si="19"/>
        <v>1639.4599999999996</v>
      </c>
      <c r="N439" t="str">
        <f t="shared" si="20"/>
        <v>High</v>
      </c>
    </row>
    <row r="440" spans="1:14" x14ac:dyDescent="0.3">
      <c r="A440" s="2">
        <v>46336</v>
      </c>
      <c r="B440" s="3">
        <v>2026</v>
      </c>
      <c r="C440" s="3" t="s">
        <v>165</v>
      </c>
      <c r="D440" s="3" t="s">
        <v>422</v>
      </c>
      <c r="E440" s="3" t="s">
        <v>153</v>
      </c>
      <c r="F440" s="3" t="s">
        <v>154</v>
      </c>
      <c r="G440" s="3" t="s">
        <v>120</v>
      </c>
      <c r="H440" s="3" t="s">
        <v>39</v>
      </c>
      <c r="I440" s="3">
        <v>16</v>
      </c>
      <c r="J440" s="3">
        <v>366.1</v>
      </c>
      <c r="K440" s="3">
        <v>3576.89</v>
      </c>
      <c r="L440" s="7">
        <f t="shared" si="18"/>
        <v>5857.6</v>
      </c>
      <c r="M440" s="7">
        <f t="shared" si="19"/>
        <v>2280.7100000000005</v>
      </c>
      <c r="N440" t="str">
        <f t="shared" si="20"/>
        <v>High</v>
      </c>
    </row>
    <row r="441" spans="1:14" x14ac:dyDescent="0.3">
      <c r="A441" s="4">
        <v>46092</v>
      </c>
      <c r="B441" s="5">
        <v>2026</v>
      </c>
      <c r="C441" s="5" t="s">
        <v>82</v>
      </c>
      <c r="D441" s="5" t="s">
        <v>218</v>
      </c>
      <c r="E441" s="5" t="s">
        <v>130</v>
      </c>
      <c r="F441" s="5" t="s">
        <v>131</v>
      </c>
      <c r="G441" s="5" t="s">
        <v>120</v>
      </c>
      <c r="H441" s="5" t="s">
        <v>16</v>
      </c>
      <c r="I441" s="5">
        <v>15</v>
      </c>
      <c r="J441" s="5">
        <v>418.09</v>
      </c>
      <c r="K441" s="5">
        <v>3341.77</v>
      </c>
      <c r="L441" s="7">
        <f t="shared" si="18"/>
        <v>6271.3499999999995</v>
      </c>
      <c r="M441" s="7">
        <f t="shared" si="19"/>
        <v>2929.5799999999995</v>
      </c>
      <c r="N441" t="str">
        <f t="shared" si="20"/>
        <v>High</v>
      </c>
    </row>
    <row r="442" spans="1:14" x14ac:dyDescent="0.3">
      <c r="A442" s="2">
        <v>46219</v>
      </c>
      <c r="B442" s="3">
        <v>2026</v>
      </c>
      <c r="C442" s="3" t="s">
        <v>150</v>
      </c>
      <c r="D442" s="3" t="s">
        <v>46</v>
      </c>
      <c r="E442" s="3" t="s">
        <v>130</v>
      </c>
      <c r="F442" s="3" t="s">
        <v>131</v>
      </c>
      <c r="G442" s="3" t="s">
        <v>120</v>
      </c>
      <c r="H442" s="3" t="s">
        <v>21</v>
      </c>
      <c r="I442" s="3">
        <v>18</v>
      </c>
      <c r="J442" s="3">
        <v>425.48</v>
      </c>
      <c r="K442" s="3">
        <v>5131.3900000000003</v>
      </c>
      <c r="L442" s="7">
        <f t="shared" si="18"/>
        <v>7658.64</v>
      </c>
      <c r="M442" s="7">
        <f t="shared" si="19"/>
        <v>2527.25</v>
      </c>
      <c r="N442" t="str">
        <f t="shared" si="20"/>
        <v>High</v>
      </c>
    </row>
    <row r="443" spans="1:14" x14ac:dyDescent="0.3">
      <c r="A443" s="4">
        <v>46043</v>
      </c>
      <c r="B443" s="5">
        <v>2026</v>
      </c>
      <c r="C443" s="5" t="s">
        <v>112</v>
      </c>
      <c r="D443" s="5" t="s">
        <v>178</v>
      </c>
      <c r="E443" s="5" t="s">
        <v>254</v>
      </c>
      <c r="F443" s="5" t="s">
        <v>255</v>
      </c>
      <c r="G443" s="5" t="s">
        <v>252</v>
      </c>
      <c r="H443" s="5" t="s">
        <v>21</v>
      </c>
      <c r="I443" s="5">
        <v>12</v>
      </c>
      <c r="J443" s="5">
        <v>442.08</v>
      </c>
      <c r="K443" s="5">
        <v>4086.43</v>
      </c>
      <c r="L443" s="7">
        <f t="shared" si="18"/>
        <v>5304.96</v>
      </c>
      <c r="M443" s="7">
        <f t="shared" si="19"/>
        <v>1218.5300000000002</v>
      </c>
      <c r="N443" t="str">
        <f t="shared" si="20"/>
        <v>High</v>
      </c>
    </row>
    <row r="444" spans="1:14" x14ac:dyDescent="0.3">
      <c r="A444" s="2">
        <v>46382</v>
      </c>
      <c r="B444" s="3">
        <v>2026</v>
      </c>
      <c r="C444" s="3" t="s">
        <v>198</v>
      </c>
      <c r="D444" s="3" t="s">
        <v>368</v>
      </c>
      <c r="E444" s="3" t="s">
        <v>258</v>
      </c>
      <c r="F444" s="3" t="s">
        <v>259</v>
      </c>
      <c r="G444" s="3" t="s">
        <v>252</v>
      </c>
      <c r="H444" s="3" t="s">
        <v>28</v>
      </c>
      <c r="I444" s="3">
        <v>12</v>
      </c>
      <c r="J444" s="3">
        <v>438.89</v>
      </c>
      <c r="K444" s="3">
        <v>3718.14</v>
      </c>
      <c r="L444" s="7">
        <f t="shared" si="18"/>
        <v>5266.68</v>
      </c>
      <c r="M444" s="7">
        <f t="shared" si="19"/>
        <v>1548.5400000000004</v>
      </c>
      <c r="N444" t="str">
        <f t="shared" si="20"/>
        <v>High</v>
      </c>
    </row>
    <row r="445" spans="1:14" x14ac:dyDescent="0.3">
      <c r="A445" s="4">
        <v>46289</v>
      </c>
      <c r="B445" s="5">
        <v>2026</v>
      </c>
      <c r="C445" s="5" t="s">
        <v>297</v>
      </c>
      <c r="D445" s="5" t="s">
        <v>407</v>
      </c>
      <c r="E445" s="5" t="s">
        <v>265</v>
      </c>
      <c r="F445" s="5" t="s">
        <v>266</v>
      </c>
      <c r="G445" s="5" t="s">
        <v>252</v>
      </c>
      <c r="H445" s="5" t="s">
        <v>16</v>
      </c>
      <c r="I445" s="5">
        <v>18</v>
      </c>
      <c r="J445" s="5">
        <v>432.04</v>
      </c>
      <c r="K445" s="5">
        <v>4250.0200000000004</v>
      </c>
      <c r="L445" s="7">
        <f t="shared" si="18"/>
        <v>7776.72</v>
      </c>
      <c r="M445" s="7">
        <f t="shared" si="19"/>
        <v>3526.7</v>
      </c>
      <c r="N445" t="str">
        <f t="shared" si="20"/>
        <v>High</v>
      </c>
    </row>
    <row r="446" spans="1:14" x14ac:dyDescent="0.3">
      <c r="A446" s="2">
        <v>46065</v>
      </c>
      <c r="B446" s="3">
        <v>2026</v>
      </c>
      <c r="C446" s="3" t="s">
        <v>248</v>
      </c>
      <c r="D446" s="3" t="s">
        <v>149</v>
      </c>
      <c r="E446" s="3" t="s">
        <v>269</v>
      </c>
      <c r="F446" s="3" t="s">
        <v>270</v>
      </c>
      <c r="G446" s="3" t="s">
        <v>252</v>
      </c>
      <c r="H446" s="3" t="s">
        <v>16</v>
      </c>
      <c r="I446" s="3">
        <v>17</v>
      </c>
      <c r="J446" s="3">
        <v>326.02999999999997</v>
      </c>
      <c r="K446" s="3">
        <v>4031.23</v>
      </c>
      <c r="L446" s="7">
        <f t="shared" si="18"/>
        <v>5542.5099999999993</v>
      </c>
      <c r="M446" s="7">
        <f t="shared" si="19"/>
        <v>1511.2799999999993</v>
      </c>
      <c r="N446" t="str">
        <f t="shared" si="20"/>
        <v>High</v>
      </c>
    </row>
    <row r="447" spans="1:14" x14ac:dyDescent="0.3">
      <c r="A447" s="4">
        <v>46362</v>
      </c>
      <c r="B447" s="5">
        <v>2026</v>
      </c>
      <c r="C447" s="5" t="s">
        <v>71</v>
      </c>
      <c r="D447" s="5" t="s">
        <v>337</v>
      </c>
      <c r="E447" s="5" t="s">
        <v>258</v>
      </c>
      <c r="F447" s="5" t="s">
        <v>259</v>
      </c>
      <c r="G447" s="5" t="s">
        <v>252</v>
      </c>
      <c r="H447" s="5" t="s">
        <v>21</v>
      </c>
      <c r="I447" s="5">
        <v>13</v>
      </c>
      <c r="J447" s="5">
        <v>457.43</v>
      </c>
      <c r="K447" s="5">
        <v>4314.84</v>
      </c>
      <c r="L447" s="7">
        <f t="shared" si="18"/>
        <v>5946.59</v>
      </c>
      <c r="M447" s="7">
        <f t="shared" si="19"/>
        <v>1631.75</v>
      </c>
      <c r="N447" t="str">
        <f t="shared" si="20"/>
        <v>High</v>
      </c>
    </row>
    <row r="448" spans="1:14" x14ac:dyDescent="0.3">
      <c r="A448" s="2">
        <v>46030</v>
      </c>
      <c r="B448" s="3">
        <v>2026</v>
      </c>
      <c r="C448" s="3" t="s">
        <v>125</v>
      </c>
      <c r="D448" s="3" t="s">
        <v>77</v>
      </c>
      <c r="E448" s="3" t="s">
        <v>269</v>
      </c>
      <c r="F448" s="3" t="s">
        <v>270</v>
      </c>
      <c r="G448" s="3" t="s">
        <v>252</v>
      </c>
      <c r="H448" s="3" t="s">
        <v>16</v>
      </c>
      <c r="I448" s="3">
        <v>18</v>
      </c>
      <c r="J448" s="3">
        <v>489.6</v>
      </c>
      <c r="K448" s="3">
        <v>6403.04</v>
      </c>
      <c r="L448" s="7">
        <f t="shared" si="18"/>
        <v>8812.8000000000011</v>
      </c>
      <c r="M448" s="7">
        <f t="shared" si="19"/>
        <v>2409.7600000000011</v>
      </c>
      <c r="N448" t="str">
        <f t="shared" si="20"/>
        <v>High</v>
      </c>
    </row>
    <row r="449" spans="1:14" x14ac:dyDescent="0.3">
      <c r="A449" s="4">
        <v>46351</v>
      </c>
      <c r="B449" s="5">
        <v>2026</v>
      </c>
      <c r="C449" s="5" t="s">
        <v>125</v>
      </c>
      <c r="D449" s="5" t="s">
        <v>423</v>
      </c>
      <c r="E449" s="5" t="s">
        <v>258</v>
      </c>
      <c r="F449" s="5" t="s">
        <v>259</v>
      </c>
      <c r="G449" s="5" t="s">
        <v>252</v>
      </c>
      <c r="H449" s="5" t="s">
        <v>16</v>
      </c>
      <c r="I449" s="5">
        <v>15</v>
      </c>
      <c r="J449" s="5">
        <v>391.6</v>
      </c>
      <c r="K449" s="5">
        <v>4234.84</v>
      </c>
      <c r="L449" s="7">
        <f t="shared" si="18"/>
        <v>5874</v>
      </c>
      <c r="M449" s="7">
        <f t="shared" si="19"/>
        <v>1639.1599999999999</v>
      </c>
      <c r="N449" t="str">
        <f t="shared" si="20"/>
        <v>High</v>
      </c>
    </row>
    <row r="450" spans="1:14" x14ac:dyDescent="0.3">
      <c r="A450" s="2">
        <v>46163</v>
      </c>
      <c r="B450" s="3">
        <v>2026</v>
      </c>
      <c r="C450" s="3" t="s">
        <v>76</v>
      </c>
      <c r="D450" s="3" t="s">
        <v>178</v>
      </c>
      <c r="E450" s="3" t="s">
        <v>265</v>
      </c>
      <c r="F450" s="3" t="s">
        <v>266</v>
      </c>
      <c r="G450" s="3" t="s">
        <v>252</v>
      </c>
      <c r="H450" s="3" t="s">
        <v>21</v>
      </c>
      <c r="I450" s="3">
        <v>18</v>
      </c>
      <c r="J450" s="3">
        <v>380.07</v>
      </c>
      <c r="K450" s="3">
        <v>4777.1000000000004</v>
      </c>
      <c r="L450" s="7">
        <f t="shared" si="18"/>
        <v>6841.26</v>
      </c>
      <c r="M450" s="7">
        <f t="shared" si="19"/>
        <v>2064.16</v>
      </c>
      <c r="N450" t="str">
        <f t="shared" si="20"/>
        <v>High</v>
      </c>
    </row>
    <row r="451" spans="1:14" x14ac:dyDescent="0.3">
      <c r="A451" s="4">
        <v>46214</v>
      </c>
      <c r="B451" s="5">
        <v>2026</v>
      </c>
      <c r="C451" s="5" t="s">
        <v>78</v>
      </c>
      <c r="D451" s="5" t="s">
        <v>182</v>
      </c>
      <c r="E451" s="5" t="s">
        <v>254</v>
      </c>
      <c r="F451" s="5" t="s">
        <v>255</v>
      </c>
      <c r="G451" s="5" t="s">
        <v>252</v>
      </c>
      <c r="H451" s="5" t="s">
        <v>16</v>
      </c>
      <c r="I451" s="5">
        <v>18</v>
      </c>
      <c r="J451" s="5">
        <v>392.96</v>
      </c>
      <c r="K451" s="5">
        <v>4833.18</v>
      </c>
      <c r="L451" s="7">
        <f t="shared" ref="L451:L501" si="21">I451*J451</f>
        <v>7073.28</v>
      </c>
      <c r="M451" s="7">
        <f t="shared" ref="M451:M501" si="22">L451-K451</f>
        <v>2240.0999999999995</v>
      </c>
      <c r="N451" t="str">
        <f t="shared" ref="N451:N501" si="23">IF(L451&gt;=3000,"High",IF(L451&gt;=1500,"Medium","Low"))</f>
        <v>High</v>
      </c>
    </row>
    <row r="452" spans="1:14" x14ac:dyDescent="0.3">
      <c r="A452" s="2">
        <v>46024</v>
      </c>
      <c r="B452" s="3">
        <v>2026</v>
      </c>
      <c r="C452" s="3" t="s">
        <v>253</v>
      </c>
      <c r="D452" s="3" t="s">
        <v>312</v>
      </c>
      <c r="E452" s="3" t="s">
        <v>269</v>
      </c>
      <c r="F452" s="3" t="s">
        <v>270</v>
      </c>
      <c r="G452" s="3" t="s">
        <v>252</v>
      </c>
      <c r="H452" s="3" t="s">
        <v>21</v>
      </c>
      <c r="I452" s="3">
        <v>18</v>
      </c>
      <c r="J452" s="3">
        <v>386.69</v>
      </c>
      <c r="K452" s="3">
        <v>4524.3500000000004</v>
      </c>
      <c r="L452" s="7">
        <f t="shared" si="21"/>
        <v>6960.42</v>
      </c>
      <c r="M452" s="7">
        <f t="shared" si="22"/>
        <v>2436.0699999999997</v>
      </c>
      <c r="N452" t="str">
        <f t="shared" si="23"/>
        <v>High</v>
      </c>
    </row>
    <row r="453" spans="1:14" x14ac:dyDescent="0.3">
      <c r="A453" s="4">
        <v>46320</v>
      </c>
      <c r="B453" s="5">
        <v>2026</v>
      </c>
      <c r="C453" s="5" t="s">
        <v>29</v>
      </c>
      <c r="D453" s="5" t="s">
        <v>402</v>
      </c>
      <c r="E453" s="5" t="s">
        <v>265</v>
      </c>
      <c r="F453" s="5" t="s">
        <v>266</v>
      </c>
      <c r="G453" s="5" t="s">
        <v>252</v>
      </c>
      <c r="H453" s="5" t="s">
        <v>39</v>
      </c>
      <c r="I453" s="5">
        <v>14</v>
      </c>
      <c r="J453" s="5">
        <v>393.95</v>
      </c>
      <c r="K453" s="5">
        <v>3223.9</v>
      </c>
      <c r="L453" s="7">
        <f t="shared" si="21"/>
        <v>5515.3</v>
      </c>
      <c r="M453" s="7">
        <f t="shared" si="22"/>
        <v>2291.4</v>
      </c>
      <c r="N453" t="str">
        <f t="shared" si="23"/>
        <v>High</v>
      </c>
    </row>
    <row r="454" spans="1:14" x14ac:dyDescent="0.3">
      <c r="A454" s="2">
        <v>46030</v>
      </c>
      <c r="B454" s="3">
        <v>2026</v>
      </c>
      <c r="C454" s="3" t="s">
        <v>354</v>
      </c>
      <c r="D454" s="3" t="s">
        <v>264</v>
      </c>
      <c r="E454" s="3" t="s">
        <v>291</v>
      </c>
      <c r="F454" s="3" t="s">
        <v>292</v>
      </c>
      <c r="G454" s="3" t="s">
        <v>288</v>
      </c>
      <c r="H454" s="3" t="s">
        <v>16</v>
      </c>
      <c r="I454" s="3">
        <v>14</v>
      </c>
      <c r="J454" s="3">
        <v>498.2</v>
      </c>
      <c r="K454" s="3">
        <v>4789.07</v>
      </c>
      <c r="L454" s="7">
        <f t="shared" si="21"/>
        <v>6974.8</v>
      </c>
      <c r="M454" s="7">
        <f t="shared" si="22"/>
        <v>2185.7300000000005</v>
      </c>
      <c r="N454" t="str">
        <f t="shared" si="23"/>
        <v>High</v>
      </c>
    </row>
    <row r="455" spans="1:14" x14ac:dyDescent="0.3">
      <c r="A455" s="4">
        <v>46290</v>
      </c>
      <c r="B455" s="5">
        <v>2026</v>
      </c>
      <c r="C455" s="5" t="s">
        <v>237</v>
      </c>
      <c r="D455" s="5" t="s">
        <v>308</v>
      </c>
      <c r="E455" s="5" t="s">
        <v>291</v>
      </c>
      <c r="F455" s="5" t="s">
        <v>292</v>
      </c>
      <c r="G455" s="5" t="s">
        <v>288</v>
      </c>
      <c r="H455" s="5" t="s">
        <v>21</v>
      </c>
      <c r="I455" s="5">
        <v>18</v>
      </c>
      <c r="J455" s="5">
        <v>441.59</v>
      </c>
      <c r="K455" s="5">
        <v>5579.1</v>
      </c>
      <c r="L455" s="7">
        <f t="shared" si="21"/>
        <v>7948.62</v>
      </c>
      <c r="M455" s="7">
        <f t="shared" si="22"/>
        <v>2369.5199999999995</v>
      </c>
      <c r="N455" t="str">
        <f t="shared" si="23"/>
        <v>High</v>
      </c>
    </row>
    <row r="456" spans="1:14" x14ac:dyDescent="0.3">
      <c r="A456" s="2">
        <v>46089</v>
      </c>
      <c r="B456" s="3">
        <v>2026</v>
      </c>
      <c r="C456" s="3" t="s">
        <v>70</v>
      </c>
      <c r="D456" s="3" t="s">
        <v>18</v>
      </c>
      <c r="E456" s="3" t="s">
        <v>294</v>
      </c>
      <c r="F456" s="3" t="s">
        <v>295</v>
      </c>
      <c r="G456" s="3" t="s">
        <v>288</v>
      </c>
      <c r="H456" s="3" t="s">
        <v>16</v>
      </c>
      <c r="I456" s="3">
        <v>17</v>
      </c>
      <c r="J456" s="3">
        <v>376.22</v>
      </c>
      <c r="K456" s="3">
        <v>3729.92</v>
      </c>
      <c r="L456" s="7">
        <f t="shared" si="21"/>
        <v>6395.7400000000007</v>
      </c>
      <c r="M456" s="7">
        <f t="shared" si="22"/>
        <v>2665.8200000000006</v>
      </c>
      <c r="N456" t="str">
        <f t="shared" si="23"/>
        <v>High</v>
      </c>
    </row>
    <row r="457" spans="1:14" x14ac:dyDescent="0.3">
      <c r="A457" s="4">
        <v>46160</v>
      </c>
      <c r="B457" s="5">
        <v>2026</v>
      </c>
      <c r="C457" s="5" t="s">
        <v>74</v>
      </c>
      <c r="D457" s="5" t="s">
        <v>422</v>
      </c>
      <c r="E457" s="5" t="s">
        <v>291</v>
      </c>
      <c r="F457" s="5" t="s">
        <v>292</v>
      </c>
      <c r="G457" s="5" t="s">
        <v>288</v>
      </c>
      <c r="H457" s="5" t="s">
        <v>16</v>
      </c>
      <c r="I457" s="5">
        <v>16</v>
      </c>
      <c r="J457" s="5">
        <v>466.31</v>
      </c>
      <c r="K457" s="5">
        <v>4242.78</v>
      </c>
      <c r="L457" s="7">
        <f t="shared" si="21"/>
        <v>7460.96</v>
      </c>
      <c r="M457" s="7">
        <f t="shared" si="22"/>
        <v>3218.1800000000003</v>
      </c>
      <c r="N457" t="str">
        <f t="shared" si="23"/>
        <v>High</v>
      </c>
    </row>
    <row r="458" spans="1:14" x14ac:dyDescent="0.3">
      <c r="A458" s="2">
        <v>46202</v>
      </c>
      <c r="B458" s="3">
        <v>2026</v>
      </c>
      <c r="C458" s="3" t="s">
        <v>11</v>
      </c>
      <c r="D458" s="3" t="s">
        <v>308</v>
      </c>
      <c r="E458" s="3" t="s">
        <v>294</v>
      </c>
      <c r="F458" s="3" t="s">
        <v>295</v>
      </c>
      <c r="G458" s="3" t="s">
        <v>288</v>
      </c>
      <c r="H458" s="3" t="s">
        <v>28</v>
      </c>
      <c r="I458" s="3">
        <v>20</v>
      </c>
      <c r="J458" s="3">
        <v>320.75</v>
      </c>
      <c r="K458" s="3">
        <v>4451.79</v>
      </c>
      <c r="L458" s="7">
        <f t="shared" si="21"/>
        <v>6415</v>
      </c>
      <c r="M458" s="7">
        <f t="shared" si="22"/>
        <v>1963.21</v>
      </c>
      <c r="N458" t="str">
        <f t="shared" si="23"/>
        <v>High</v>
      </c>
    </row>
    <row r="459" spans="1:14" x14ac:dyDescent="0.3">
      <c r="A459" s="4">
        <v>46050</v>
      </c>
      <c r="B459" s="5">
        <v>2026</v>
      </c>
      <c r="C459" s="5" t="s">
        <v>183</v>
      </c>
      <c r="D459" s="5" t="s">
        <v>296</v>
      </c>
      <c r="E459" s="5" t="s">
        <v>286</v>
      </c>
      <c r="F459" s="5" t="s">
        <v>287</v>
      </c>
      <c r="G459" s="5" t="s">
        <v>288</v>
      </c>
      <c r="H459" s="5" t="s">
        <v>39</v>
      </c>
      <c r="I459" s="5">
        <v>19</v>
      </c>
      <c r="J459" s="5">
        <v>307.5</v>
      </c>
      <c r="K459" s="5">
        <v>4815.2700000000004</v>
      </c>
      <c r="L459" s="7">
        <f t="shared" si="21"/>
        <v>5842.5</v>
      </c>
      <c r="M459" s="7">
        <f t="shared" si="22"/>
        <v>1027.2299999999996</v>
      </c>
      <c r="N459" t="str">
        <f t="shared" si="23"/>
        <v>High</v>
      </c>
    </row>
    <row r="460" spans="1:14" x14ac:dyDescent="0.3">
      <c r="A460" s="2">
        <v>46231</v>
      </c>
      <c r="B460" s="3">
        <v>2026</v>
      </c>
      <c r="C460" s="3" t="s">
        <v>115</v>
      </c>
      <c r="D460" s="3" t="s">
        <v>225</v>
      </c>
      <c r="E460" s="3" t="s">
        <v>323</v>
      </c>
      <c r="F460" s="3" t="s">
        <v>324</v>
      </c>
      <c r="G460" s="3" t="s">
        <v>311</v>
      </c>
      <c r="H460" s="3" t="s">
        <v>28</v>
      </c>
      <c r="I460" s="3">
        <v>19</v>
      </c>
      <c r="J460" s="3">
        <v>483</v>
      </c>
      <c r="K460" s="3">
        <v>5850.31</v>
      </c>
      <c r="L460" s="7">
        <f t="shared" si="21"/>
        <v>9177</v>
      </c>
      <c r="M460" s="7">
        <f t="shared" si="22"/>
        <v>3326.6899999999996</v>
      </c>
      <c r="N460" t="str">
        <f t="shared" si="23"/>
        <v>High</v>
      </c>
    </row>
    <row r="461" spans="1:14" x14ac:dyDescent="0.3">
      <c r="A461" s="4">
        <v>46099</v>
      </c>
      <c r="B461" s="5">
        <v>2026</v>
      </c>
      <c r="C461" s="5" t="s">
        <v>110</v>
      </c>
      <c r="D461" s="5" t="s">
        <v>116</v>
      </c>
      <c r="E461" s="5" t="s">
        <v>323</v>
      </c>
      <c r="F461" s="5" t="s">
        <v>324</v>
      </c>
      <c r="G461" s="5" t="s">
        <v>311</v>
      </c>
      <c r="H461" s="5" t="s">
        <v>28</v>
      </c>
      <c r="I461" s="5">
        <v>16</v>
      </c>
      <c r="J461" s="5">
        <v>330.33</v>
      </c>
      <c r="K461" s="5">
        <v>3555.02</v>
      </c>
      <c r="L461" s="7">
        <f t="shared" si="21"/>
        <v>5285.28</v>
      </c>
      <c r="M461" s="7">
        <f t="shared" si="22"/>
        <v>1730.2599999999998</v>
      </c>
      <c r="N461" t="str">
        <f t="shared" si="23"/>
        <v>High</v>
      </c>
    </row>
    <row r="462" spans="1:14" x14ac:dyDescent="0.3">
      <c r="A462" s="2">
        <v>46330</v>
      </c>
      <c r="B462" s="3">
        <v>2026</v>
      </c>
      <c r="C462" s="3" t="s">
        <v>55</v>
      </c>
      <c r="D462" s="3" t="s">
        <v>69</v>
      </c>
      <c r="E462" s="3" t="s">
        <v>309</v>
      </c>
      <c r="F462" s="3" t="s">
        <v>310</v>
      </c>
      <c r="G462" s="3" t="s">
        <v>311</v>
      </c>
      <c r="H462" s="3" t="s">
        <v>21</v>
      </c>
      <c r="I462" s="3">
        <v>17</v>
      </c>
      <c r="J462" s="3">
        <v>440.76</v>
      </c>
      <c r="K462" s="3">
        <v>5061.97</v>
      </c>
      <c r="L462" s="7">
        <f t="shared" si="21"/>
        <v>7492.92</v>
      </c>
      <c r="M462" s="7">
        <f t="shared" si="22"/>
        <v>2430.9499999999998</v>
      </c>
      <c r="N462" t="str">
        <f t="shared" si="23"/>
        <v>High</v>
      </c>
    </row>
    <row r="463" spans="1:14" x14ac:dyDescent="0.3">
      <c r="A463" s="4">
        <v>46115</v>
      </c>
      <c r="B463" s="5">
        <v>2026</v>
      </c>
      <c r="C463" s="5" t="s">
        <v>102</v>
      </c>
      <c r="D463" s="5" t="s">
        <v>267</v>
      </c>
      <c r="E463" s="5" t="s">
        <v>327</v>
      </c>
      <c r="F463" s="5" t="s">
        <v>328</v>
      </c>
      <c r="G463" s="5" t="s">
        <v>311</v>
      </c>
      <c r="H463" s="5" t="s">
        <v>16</v>
      </c>
      <c r="I463" s="5">
        <v>20</v>
      </c>
      <c r="J463" s="5">
        <v>360.44</v>
      </c>
      <c r="K463" s="5">
        <v>4828.17</v>
      </c>
      <c r="L463" s="7">
        <f t="shared" si="21"/>
        <v>7208.8</v>
      </c>
      <c r="M463" s="7">
        <f t="shared" si="22"/>
        <v>2380.63</v>
      </c>
      <c r="N463" t="str">
        <f t="shared" si="23"/>
        <v>High</v>
      </c>
    </row>
    <row r="464" spans="1:14" x14ac:dyDescent="0.3">
      <c r="A464" s="2">
        <v>46036</v>
      </c>
      <c r="B464" s="3">
        <v>2026</v>
      </c>
      <c r="C464" s="3" t="s">
        <v>84</v>
      </c>
      <c r="D464" s="3" t="s">
        <v>173</v>
      </c>
      <c r="E464" s="3" t="s">
        <v>316</v>
      </c>
      <c r="F464" s="3" t="s">
        <v>317</v>
      </c>
      <c r="G464" s="3" t="s">
        <v>311</v>
      </c>
      <c r="H464" s="3" t="s">
        <v>28</v>
      </c>
      <c r="I464" s="3">
        <v>20</v>
      </c>
      <c r="J464" s="3">
        <v>325.52</v>
      </c>
      <c r="K464" s="3">
        <v>4014.71</v>
      </c>
      <c r="L464" s="7">
        <f t="shared" si="21"/>
        <v>6510.4</v>
      </c>
      <c r="M464" s="7">
        <f t="shared" si="22"/>
        <v>2495.6899999999996</v>
      </c>
      <c r="N464" t="str">
        <f t="shared" si="23"/>
        <v>High</v>
      </c>
    </row>
    <row r="465" spans="1:14" x14ac:dyDescent="0.3">
      <c r="A465" s="4">
        <v>46249</v>
      </c>
      <c r="B465" s="5">
        <v>2026</v>
      </c>
      <c r="C465" s="5" t="s">
        <v>132</v>
      </c>
      <c r="D465" s="5" t="s">
        <v>101</v>
      </c>
      <c r="E465" s="5" t="s">
        <v>327</v>
      </c>
      <c r="F465" s="5" t="s">
        <v>328</v>
      </c>
      <c r="G465" s="5" t="s">
        <v>311</v>
      </c>
      <c r="H465" s="5" t="s">
        <v>21</v>
      </c>
      <c r="I465" s="5">
        <v>15</v>
      </c>
      <c r="J465" s="5">
        <v>359.56</v>
      </c>
      <c r="K465" s="5">
        <v>3727.76</v>
      </c>
      <c r="L465" s="7">
        <f t="shared" si="21"/>
        <v>5393.4</v>
      </c>
      <c r="M465" s="7">
        <f t="shared" si="22"/>
        <v>1665.6399999999994</v>
      </c>
      <c r="N465" t="str">
        <f t="shared" si="23"/>
        <v>High</v>
      </c>
    </row>
    <row r="466" spans="1:14" x14ac:dyDescent="0.3">
      <c r="A466" s="2">
        <v>46353</v>
      </c>
      <c r="B466" s="3">
        <v>2026</v>
      </c>
      <c r="C466" s="3" t="s">
        <v>74</v>
      </c>
      <c r="D466" s="3" t="s">
        <v>424</v>
      </c>
      <c r="E466" s="3" t="s">
        <v>338</v>
      </c>
      <c r="F466" s="3" t="s">
        <v>339</v>
      </c>
      <c r="G466" s="3" t="s">
        <v>311</v>
      </c>
      <c r="H466" s="3" t="s">
        <v>21</v>
      </c>
      <c r="I466" s="3">
        <v>11</v>
      </c>
      <c r="J466" s="3">
        <v>489.24</v>
      </c>
      <c r="K466" s="3">
        <v>3208.94</v>
      </c>
      <c r="L466" s="7">
        <f t="shared" si="21"/>
        <v>5381.64</v>
      </c>
      <c r="M466" s="7">
        <f t="shared" si="22"/>
        <v>2172.7000000000003</v>
      </c>
      <c r="N466" t="str">
        <f t="shared" si="23"/>
        <v>High</v>
      </c>
    </row>
    <row r="467" spans="1:14" x14ac:dyDescent="0.3">
      <c r="A467" s="4">
        <v>46186</v>
      </c>
      <c r="B467" s="5">
        <v>2026</v>
      </c>
      <c r="C467" s="5" t="s">
        <v>253</v>
      </c>
      <c r="D467" s="5" t="s">
        <v>238</v>
      </c>
      <c r="E467" s="5" t="s">
        <v>338</v>
      </c>
      <c r="F467" s="5" t="s">
        <v>339</v>
      </c>
      <c r="G467" s="5" t="s">
        <v>311</v>
      </c>
      <c r="H467" s="5" t="s">
        <v>28</v>
      </c>
      <c r="I467" s="5">
        <v>20</v>
      </c>
      <c r="J467" s="5">
        <v>325.04000000000002</v>
      </c>
      <c r="K467" s="5">
        <v>3717.21</v>
      </c>
      <c r="L467" s="7">
        <f t="shared" si="21"/>
        <v>6500.8</v>
      </c>
      <c r="M467" s="7">
        <f t="shared" si="22"/>
        <v>2783.59</v>
      </c>
      <c r="N467" t="str">
        <f t="shared" si="23"/>
        <v>High</v>
      </c>
    </row>
    <row r="468" spans="1:14" x14ac:dyDescent="0.3">
      <c r="A468" s="2">
        <v>46149</v>
      </c>
      <c r="B468" s="3">
        <v>2026</v>
      </c>
      <c r="C468" s="3" t="s">
        <v>425</v>
      </c>
      <c r="D468" s="3" t="s">
        <v>81</v>
      </c>
      <c r="E468" s="3" t="s">
        <v>327</v>
      </c>
      <c r="F468" s="3" t="s">
        <v>328</v>
      </c>
      <c r="G468" s="3" t="s">
        <v>311</v>
      </c>
      <c r="H468" s="3" t="s">
        <v>16</v>
      </c>
      <c r="I468" s="3">
        <v>19</v>
      </c>
      <c r="J468" s="3">
        <v>278.99</v>
      </c>
      <c r="K468" s="3">
        <v>3712.3</v>
      </c>
      <c r="L468" s="7">
        <f t="shared" si="21"/>
        <v>5300.81</v>
      </c>
      <c r="M468" s="7">
        <f t="shared" si="22"/>
        <v>1588.5100000000002</v>
      </c>
      <c r="N468" t="str">
        <f t="shared" si="23"/>
        <v>High</v>
      </c>
    </row>
    <row r="469" spans="1:14" x14ac:dyDescent="0.3">
      <c r="A469" s="4">
        <v>46094</v>
      </c>
      <c r="B469" s="5">
        <v>2026</v>
      </c>
      <c r="C469" s="5" t="s">
        <v>279</v>
      </c>
      <c r="D469" s="5" t="s">
        <v>157</v>
      </c>
      <c r="E469" s="5" t="s">
        <v>327</v>
      </c>
      <c r="F469" s="5" t="s">
        <v>328</v>
      </c>
      <c r="G469" s="5" t="s">
        <v>311</v>
      </c>
      <c r="H469" s="5" t="s">
        <v>28</v>
      </c>
      <c r="I469" s="5">
        <v>18</v>
      </c>
      <c r="J469" s="5">
        <v>309.36</v>
      </c>
      <c r="K469" s="5">
        <v>4132.3500000000004</v>
      </c>
      <c r="L469" s="7">
        <f t="shared" si="21"/>
        <v>5568.4800000000005</v>
      </c>
      <c r="M469" s="7">
        <f t="shared" si="22"/>
        <v>1436.13</v>
      </c>
      <c r="N469" t="str">
        <f t="shared" si="23"/>
        <v>High</v>
      </c>
    </row>
    <row r="470" spans="1:14" x14ac:dyDescent="0.3">
      <c r="A470" s="2">
        <v>46305</v>
      </c>
      <c r="B470" s="3">
        <v>2026</v>
      </c>
      <c r="C470" s="3" t="s">
        <v>204</v>
      </c>
      <c r="D470" s="3" t="s">
        <v>159</v>
      </c>
      <c r="E470" s="3" t="s">
        <v>321</v>
      </c>
      <c r="F470" s="3" t="s">
        <v>322</v>
      </c>
      <c r="G470" s="3" t="s">
        <v>311</v>
      </c>
      <c r="H470" s="3" t="s">
        <v>16</v>
      </c>
      <c r="I470" s="3">
        <v>17</v>
      </c>
      <c r="J470" s="3">
        <v>491.61</v>
      </c>
      <c r="K470" s="3">
        <v>5547.84</v>
      </c>
      <c r="L470" s="7">
        <f t="shared" si="21"/>
        <v>8357.3700000000008</v>
      </c>
      <c r="M470" s="7">
        <f t="shared" si="22"/>
        <v>2809.5300000000007</v>
      </c>
      <c r="N470" t="str">
        <f t="shared" si="23"/>
        <v>High</v>
      </c>
    </row>
    <row r="471" spans="1:14" x14ac:dyDescent="0.3">
      <c r="A471" s="4">
        <v>46272</v>
      </c>
      <c r="B471" s="5">
        <v>2026</v>
      </c>
      <c r="C471" s="5" t="s">
        <v>273</v>
      </c>
      <c r="D471" s="5" t="s">
        <v>426</v>
      </c>
      <c r="E471" s="5" t="s">
        <v>327</v>
      </c>
      <c r="F471" s="5" t="s">
        <v>328</v>
      </c>
      <c r="G471" s="5" t="s">
        <v>311</v>
      </c>
      <c r="H471" s="5" t="s">
        <v>21</v>
      </c>
      <c r="I471" s="5">
        <v>19</v>
      </c>
      <c r="J471" s="5">
        <v>429.73</v>
      </c>
      <c r="K471" s="5">
        <v>5873.13</v>
      </c>
      <c r="L471" s="7">
        <f t="shared" si="21"/>
        <v>8164.8700000000008</v>
      </c>
      <c r="M471" s="7">
        <f t="shared" si="22"/>
        <v>2291.7400000000007</v>
      </c>
      <c r="N471" t="str">
        <f t="shared" si="23"/>
        <v>High</v>
      </c>
    </row>
    <row r="472" spans="1:14" x14ac:dyDescent="0.3">
      <c r="A472" s="2">
        <v>46181</v>
      </c>
      <c r="B472" s="3">
        <v>2026</v>
      </c>
      <c r="C472" s="3" t="s">
        <v>22</v>
      </c>
      <c r="D472" s="3" t="s">
        <v>225</v>
      </c>
      <c r="E472" s="3" t="s">
        <v>316</v>
      </c>
      <c r="F472" s="3" t="s">
        <v>317</v>
      </c>
      <c r="G472" s="3" t="s">
        <v>311</v>
      </c>
      <c r="H472" s="3" t="s">
        <v>39</v>
      </c>
      <c r="I472" s="3">
        <v>15</v>
      </c>
      <c r="J472" s="3">
        <v>427.35</v>
      </c>
      <c r="K472" s="3">
        <v>4244.6499999999996</v>
      </c>
      <c r="L472" s="7">
        <f t="shared" si="21"/>
        <v>6410.25</v>
      </c>
      <c r="M472" s="7">
        <f t="shared" si="22"/>
        <v>2165.6000000000004</v>
      </c>
      <c r="N472" t="str">
        <f t="shared" si="23"/>
        <v>High</v>
      </c>
    </row>
    <row r="473" spans="1:14" x14ac:dyDescent="0.3">
      <c r="A473" s="4">
        <v>46083</v>
      </c>
      <c r="B473" s="5">
        <v>2026</v>
      </c>
      <c r="C473" s="5" t="s">
        <v>121</v>
      </c>
      <c r="D473" s="5" t="s">
        <v>56</v>
      </c>
      <c r="E473" s="5" t="s">
        <v>316</v>
      </c>
      <c r="F473" s="5" t="s">
        <v>317</v>
      </c>
      <c r="G473" s="5" t="s">
        <v>311</v>
      </c>
      <c r="H473" s="5" t="s">
        <v>28</v>
      </c>
      <c r="I473" s="5">
        <v>20</v>
      </c>
      <c r="J473" s="5">
        <v>255.26</v>
      </c>
      <c r="K473" s="5">
        <v>3099.87</v>
      </c>
      <c r="L473" s="7">
        <f t="shared" si="21"/>
        <v>5105.2</v>
      </c>
      <c r="M473" s="7">
        <f t="shared" si="22"/>
        <v>2005.33</v>
      </c>
      <c r="N473" t="str">
        <f t="shared" si="23"/>
        <v>High</v>
      </c>
    </row>
    <row r="474" spans="1:14" x14ac:dyDescent="0.3">
      <c r="A474" s="2">
        <v>46278</v>
      </c>
      <c r="B474" s="3">
        <v>2026</v>
      </c>
      <c r="C474" s="3" t="s">
        <v>40</v>
      </c>
      <c r="D474" s="3" t="s">
        <v>233</v>
      </c>
      <c r="E474" s="3" t="s">
        <v>316</v>
      </c>
      <c r="F474" s="3" t="s">
        <v>317</v>
      </c>
      <c r="G474" s="3" t="s">
        <v>311</v>
      </c>
      <c r="H474" s="3" t="s">
        <v>21</v>
      </c>
      <c r="I474" s="3">
        <v>18</v>
      </c>
      <c r="J474" s="3">
        <v>370.66</v>
      </c>
      <c r="K474" s="3">
        <v>4797.7299999999996</v>
      </c>
      <c r="L474" s="7">
        <f t="shared" si="21"/>
        <v>6671.88</v>
      </c>
      <c r="M474" s="7">
        <f t="shared" si="22"/>
        <v>1874.1500000000005</v>
      </c>
      <c r="N474" t="str">
        <f t="shared" si="23"/>
        <v>High</v>
      </c>
    </row>
    <row r="475" spans="1:14" x14ac:dyDescent="0.3">
      <c r="A475" s="4">
        <v>46159</v>
      </c>
      <c r="B475" s="5">
        <v>2026</v>
      </c>
      <c r="C475" s="5" t="s">
        <v>57</v>
      </c>
      <c r="D475" s="5" t="s">
        <v>281</v>
      </c>
      <c r="E475" s="5" t="s">
        <v>338</v>
      </c>
      <c r="F475" s="5" t="s">
        <v>339</v>
      </c>
      <c r="G475" s="5" t="s">
        <v>311</v>
      </c>
      <c r="H475" s="5" t="s">
        <v>28</v>
      </c>
      <c r="I475" s="5">
        <v>18</v>
      </c>
      <c r="J475" s="5">
        <v>438.68</v>
      </c>
      <c r="K475" s="5">
        <v>5201</v>
      </c>
      <c r="L475" s="7">
        <f t="shared" si="21"/>
        <v>7896.24</v>
      </c>
      <c r="M475" s="7">
        <f t="shared" si="22"/>
        <v>2695.24</v>
      </c>
      <c r="N475" t="str">
        <f t="shared" si="23"/>
        <v>High</v>
      </c>
    </row>
    <row r="476" spans="1:14" x14ac:dyDescent="0.3">
      <c r="A476" s="2">
        <v>46137</v>
      </c>
      <c r="B476" s="3">
        <v>2026</v>
      </c>
      <c r="C476" s="3" t="s">
        <v>29</v>
      </c>
      <c r="D476" s="3" t="s">
        <v>305</v>
      </c>
      <c r="E476" s="3" t="s">
        <v>313</v>
      </c>
      <c r="F476" s="3" t="s">
        <v>314</v>
      </c>
      <c r="G476" s="3" t="s">
        <v>311</v>
      </c>
      <c r="H476" s="3" t="s">
        <v>28</v>
      </c>
      <c r="I476" s="3">
        <v>17</v>
      </c>
      <c r="J476" s="3">
        <v>457.85</v>
      </c>
      <c r="K476" s="3">
        <v>5670.66</v>
      </c>
      <c r="L476" s="7">
        <f t="shared" si="21"/>
        <v>7783.4500000000007</v>
      </c>
      <c r="M476" s="7">
        <f t="shared" si="22"/>
        <v>2112.7900000000009</v>
      </c>
      <c r="N476" t="str">
        <f t="shared" si="23"/>
        <v>High</v>
      </c>
    </row>
    <row r="477" spans="1:14" x14ac:dyDescent="0.3">
      <c r="A477" s="4">
        <v>46230</v>
      </c>
      <c r="B477" s="5">
        <v>2026</v>
      </c>
      <c r="C477" s="5" t="s">
        <v>108</v>
      </c>
      <c r="D477" s="5" t="s">
        <v>421</v>
      </c>
      <c r="E477" s="5" t="s">
        <v>321</v>
      </c>
      <c r="F477" s="5" t="s">
        <v>322</v>
      </c>
      <c r="G477" s="5" t="s">
        <v>311</v>
      </c>
      <c r="H477" s="5" t="s">
        <v>16</v>
      </c>
      <c r="I477" s="5">
        <v>14</v>
      </c>
      <c r="J477" s="5">
        <v>468.71</v>
      </c>
      <c r="K477" s="5">
        <v>4203.43</v>
      </c>
      <c r="L477" s="7">
        <f t="shared" si="21"/>
        <v>6561.94</v>
      </c>
      <c r="M477" s="7">
        <f t="shared" si="22"/>
        <v>2358.5099999999993</v>
      </c>
      <c r="N477" t="str">
        <f t="shared" si="23"/>
        <v>High</v>
      </c>
    </row>
    <row r="478" spans="1:14" x14ac:dyDescent="0.3">
      <c r="A478" s="2">
        <v>46153</v>
      </c>
      <c r="B478" s="3">
        <v>2026</v>
      </c>
      <c r="C478" s="3" t="s">
        <v>260</v>
      </c>
      <c r="D478" s="3" t="s">
        <v>405</v>
      </c>
      <c r="E478" s="3" t="s">
        <v>319</v>
      </c>
      <c r="F478" s="3" t="s">
        <v>320</v>
      </c>
      <c r="G478" s="3" t="s">
        <v>311</v>
      </c>
      <c r="H478" s="3" t="s">
        <v>39</v>
      </c>
      <c r="I478" s="3">
        <v>14</v>
      </c>
      <c r="J478" s="3">
        <v>397.58</v>
      </c>
      <c r="K478" s="3">
        <v>4332.5600000000004</v>
      </c>
      <c r="L478" s="7">
        <f t="shared" si="21"/>
        <v>5566.12</v>
      </c>
      <c r="M478" s="7">
        <f t="shared" si="22"/>
        <v>1233.5599999999995</v>
      </c>
      <c r="N478" t="str">
        <f t="shared" si="23"/>
        <v>High</v>
      </c>
    </row>
    <row r="479" spans="1:14" x14ac:dyDescent="0.3">
      <c r="A479" s="4">
        <v>46025</v>
      </c>
      <c r="B479" s="5">
        <v>2026</v>
      </c>
      <c r="C479" s="5" t="s">
        <v>86</v>
      </c>
      <c r="D479" s="5" t="s">
        <v>410</v>
      </c>
      <c r="E479" s="5" t="s">
        <v>319</v>
      </c>
      <c r="F479" s="5" t="s">
        <v>320</v>
      </c>
      <c r="G479" s="5" t="s">
        <v>311</v>
      </c>
      <c r="H479" s="5" t="s">
        <v>28</v>
      </c>
      <c r="I479" s="5">
        <v>17</v>
      </c>
      <c r="J479" s="5">
        <v>344.9</v>
      </c>
      <c r="K479" s="5">
        <v>3533.35</v>
      </c>
      <c r="L479" s="7">
        <f t="shared" si="21"/>
        <v>5863.2999999999993</v>
      </c>
      <c r="M479" s="7">
        <f t="shared" si="22"/>
        <v>2329.9499999999994</v>
      </c>
      <c r="N479" t="str">
        <f t="shared" si="23"/>
        <v>High</v>
      </c>
    </row>
    <row r="480" spans="1:14" x14ac:dyDescent="0.3">
      <c r="A480" s="2">
        <v>46203</v>
      </c>
      <c r="B480" s="3">
        <v>2026</v>
      </c>
      <c r="C480" s="3" t="s">
        <v>163</v>
      </c>
      <c r="D480" s="3" t="s">
        <v>403</v>
      </c>
      <c r="E480" s="3" t="s">
        <v>316</v>
      </c>
      <c r="F480" s="3" t="s">
        <v>317</v>
      </c>
      <c r="G480" s="3" t="s">
        <v>311</v>
      </c>
      <c r="H480" s="3" t="s">
        <v>16</v>
      </c>
      <c r="I480" s="3">
        <v>20</v>
      </c>
      <c r="J480" s="3">
        <v>375.08</v>
      </c>
      <c r="K480" s="3">
        <v>4722.93</v>
      </c>
      <c r="L480" s="7">
        <f t="shared" si="21"/>
        <v>7501.5999999999995</v>
      </c>
      <c r="M480" s="7">
        <f t="shared" si="22"/>
        <v>2778.6699999999992</v>
      </c>
      <c r="N480" t="str">
        <f t="shared" si="23"/>
        <v>High</v>
      </c>
    </row>
    <row r="481" spans="1:14" x14ac:dyDescent="0.3">
      <c r="A481" s="4">
        <v>46282</v>
      </c>
      <c r="B481" s="5">
        <v>2026</v>
      </c>
      <c r="C481" s="5" t="s">
        <v>151</v>
      </c>
      <c r="D481" s="5" t="s">
        <v>219</v>
      </c>
      <c r="E481" s="5" t="s">
        <v>321</v>
      </c>
      <c r="F481" s="5" t="s">
        <v>322</v>
      </c>
      <c r="G481" s="5" t="s">
        <v>311</v>
      </c>
      <c r="H481" s="5" t="s">
        <v>16</v>
      </c>
      <c r="I481" s="5">
        <v>15</v>
      </c>
      <c r="J481" s="5">
        <v>448.07</v>
      </c>
      <c r="K481" s="5">
        <v>5303.89</v>
      </c>
      <c r="L481" s="7">
        <f t="shared" si="21"/>
        <v>6721.05</v>
      </c>
      <c r="M481" s="7">
        <f t="shared" si="22"/>
        <v>1417.1599999999999</v>
      </c>
      <c r="N481" t="str">
        <f t="shared" si="23"/>
        <v>High</v>
      </c>
    </row>
    <row r="482" spans="1:14" x14ac:dyDescent="0.3">
      <c r="A482" s="2">
        <v>46133</v>
      </c>
      <c r="B482" s="3">
        <v>2026</v>
      </c>
      <c r="C482" s="3" t="s">
        <v>234</v>
      </c>
      <c r="D482" s="3" t="s">
        <v>299</v>
      </c>
      <c r="E482" s="3" t="s">
        <v>363</v>
      </c>
      <c r="F482" s="3" t="s">
        <v>364</v>
      </c>
      <c r="G482" s="3" t="s">
        <v>357</v>
      </c>
      <c r="H482" s="3" t="s">
        <v>39</v>
      </c>
      <c r="I482" s="3">
        <v>17</v>
      </c>
      <c r="J482" s="3">
        <v>311.86</v>
      </c>
      <c r="K482" s="3">
        <v>3119.49</v>
      </c>
      <c r="L482" s="7">
        <f t="shared" si="21"/>
        <v>5301.62</v>
      </c>
      <c r="M482" s="7">
        <f t="shared" si="22"/>
        <v>2182.13</v>
      </c>
      <c r="N482" t="str">
        <f t="shared" si="23"/>
        <v>High</v>
      </c>
    </row>
    <row r="483" spans="1:14" x14ac:dyDescent="0.3">
      <c r="A483" s="4">
        <v>46347</v>
      </c>
      <c r="B483" s="5">
        <v>2026</v>
      </c>
      <c r="C483" s="5" t="s">
        <v>86</v>
      </c>
      <c r="D483" s="5" t="s">
        <v>202</v>
      </c>
      <c r="E483" s="5" t="s">
        <v>355</v>
      </c>
      <c r="F483" s="5" t="s">
        <v>356</v>
      </c>
      <c r="G483" s="5" t="s">
        <v>357</v>
      </c>
      <c r="H483" s="5" t="s">
        <v>39</v>
      </c>
      <c r="I483" s="5">
        <v>17</v>
      </c>
      <c r="J483" s="5">
        <v>448.85</v>
      </c>
      <c r="K483" s="5">
        <v>4859.8</v>
      </c>
      <c r="L483" s="7">
        <f t="shared" si="21"/>
        <v>7630.4500000000007</v>
      </c>
      <c r="M483" s="7">
        <f t="shared" si="22"/>
        <v>2770.6500000000005</v>
      </c>
      <c r="N483" t="str">
        <f t="shared" si="23"/>
        <v>High</v>
      </c>
    </row>
    <row r="484" spans="1:14" x14ac:dyDescent="0.3">
      <c r="A484" s="2">
        <v>46378</v>
      </c>
      <c r="B484" s="3">
        <v>2026</v>
      </c>
      <c r="C484" s="3" t="s">
        <v>22</v>
      </c>
      <c r="D484" s="3" t="s">
        <v>405</v>
      </c>
      <c r="E484" s="3" t="s">
        <v>366</v>
      </c>
      <c r="F484" s="3" t="s">
        <v>367</v>
      </c>
      <c r="G484" s="3" t="s">
        <v>357</v>
      </c>
      <c r="H484" s="3" t="s">
        <v>21</v>
      </c>
      <c r="I484" s="3">
        <v>11</v>
      </c>
      <c r="J484" s="3">
        <v>466.27</v>
      </c>
      <c r="K484" s="3">
        <v>4135.12</v>
      </c>
      <c r="L484" s="7">
        <f t="shared" si="21"/>
        <v>5128.9699999999993</v>
      </c>
      <c r="M484" s="7">
        <f t="shared" si="22"/>
        <v>993.84999999999945</v>
      </c>
      <c r="N484" t="str">
        <f t="shared" si="23"/>
        <v>High</v>
      </c>
    </row>
    <row r="485" spans="1:14" x14ac:dyDescent="0.3">
      <c r="A485" s="4">
        <v>46110</v>
      </c>
      <c r="B485" s="5">
        <v>2026</v>
      </c>
      <c r="C485" s="5" t="s">
        <v>413</v>
      </c>
      <c r="D485" s="5" t="s">
        <v>426</v>
      </c>
      <c r="E485" s="5" t="s">
        <v>366</v>
      </c>
      <c r="F485" s="5" t="s">
        <v>367</v>
      </c>
      <c r="G485" s="5" t="s">
        <v>357</v>
      </c>
      <c r="H485" s="5" t="s">
        <v>16</v>
      </c>
      <c r="I485" s="5">
        <v>19</v>
      </c>
      <c r="J485" s="5">
        <v>303.26</v>
      </c>
      <c r="K485" s="5">
        <v>4345.66</v>
      </c>
      <c r="L485" s="7">
        <f t="shared" si="21"/>
        <v>5761.94</v>
      </c>
      <c r="M485" s="7">
        <f t="shared" si="22"/>
        <v>1416.2799999999997</v>
      </c>
      <c r="N485" t="str">
        <f t="shared" si="23"/>
        <v>High</v>
      </c>
    </row>
    <row r="486" spans="1:14" x14ac:dyDescent="0.3">
      <c r="A486" s="2">
        <v>46072</v>
      </c>
      <c r="B486" s="3">
        <v>2026</v>
      </c>
      <c r="C486" s="3" t="s">
        <v>68</v>
      </c>
      <c r="D486" s="3" t="s">
        <v>77</v>
      </c>
      <c r="E486" s="3" t="s">
        <v>366</v>
      </c>
      <c r="F486" s="3" t="s">
        <v>367</v>
      </c>
      <c r="G486" s="3" t="s">
        <v>357</v>
      </c>
      <c r="H486" s="3" t="s">
        <v>16</v>
      </c>
      <c r="I486" s="3">
        <v>19</v>
      </c>
      <c r="J486" s="3">
        <v>399.66</v>
      </c>
      <c r="K486" s="3">
        <v>4928.01</v>
      </c>
      <c r="L486" s="7">
        <f t="shared" si="21"/>
        <v>7593.5400000000009</v>
      </c>
      <c r="M486" s="7">
        <f t="shared" si="22"/>
        <v>2665.5300000000007</v>
      </c>
      <c r="N486" t="str">
        <f t="shared" si="23"/>
        <v>High</v>
      </c>
    </row>
    <row r="487" spans="1:14" x14ac:dyDescent="0.3">
      <c r="A487" s="4">
        <v>46267</v>
      </c>
      <c r="B487" s="5">
        <v>2026</v>
      </c>
      <c r="C487" s="5" t="s">
        <v>204</v>
      </c>
      <c r="D487" s="5" t="s">
        <v>411</v>
      </c>
      <c r="E487" s="5" t="s">
        <v>360</v>
      </c>
      <c r="F487" s="5" t="s">
        <v>361</v>
      </c>
      <c r="G487" s="5" t="s">
        <v>357</v>
      </c>
      <c r="H487" s="5" t="s">
        <v>16</v>
      </c>
      <c r="I487" s="5">
        <v>17</v>
      </c>
      <c r="J487" s="5">
        <v>426.36</v>
      </c>
      <c r="K487" s="5">
        <v>4312.93</v>
      </c>
      <c r="L487" s="7">
        <f t="shared" si="21"/>
        <v>7248.12</v>
      </c>
      <c r="M487" s="7">
        <f t="shared" si="22"/>
        <v>2935.1899999999996</v>
      </c>
      <c r="N487" t="str">
        <f t="shared" si="23"/>
        <v>High</v>
      </c>
    </row>
    <row r="488" spans="1:14" x14ac:dyDescent="0.3">
      <c r="A488" s="2">
        <v>46352</v>
      </c>
      <c r="B488" s="3">
        <v>2026</v>
      </c>
      <c r="C488" s="3" t="s">
        <v>353</v>
      </c>
      <c r="D488" s="3" t="s">
        <v>419</v>
      </c>
      <c r="E488" s="3" t="s">
        <v>360</v>
      </c>
      <c r="F488" s="3" t="s">
        <v>361</v>
      </c>
      <c r="G488" s="3" t="s">
        <v>357</v>
      </c>
      <c r="H488" s="3" t="s">
        <v>16</v>
      </c>
      <c r="I488" s="3">
        <v>14</v>
      </c>
      <c r="J488" s="3">
        <v>388.92</v>
      </c>
      <c r="K488" s="3">
        <v>3238.34</v>
      </c>
      <c r="L488" s="7">
        <f t="shared" si="21"/>
        <v>5444.88</v>
      </c>
      <c r="M488" s="7">
        <f t="shared" si="22"/>
        <v>2206.54</v>
      </c>
      <c r="N488" t="str">
        <f t="shared" si="23"/>
        <v>High</v>
      </c>
    </row>
    <row r="489" spans="1:14" x14ac:dyDescent="0.3">
      <c r="A489" s="4">
        <v>46222</v>
      </c>
      <c r="B489" s="5">
        <v>2026</v>
      </c>
      <c r="C489" s="5" t="s">
        <v>150</v>
      </c>
      <c r="D489" s="5" t="s">
        <v>427</v>
      </c>
      <c r="E489" s="5" t="s">
        <v>379</v>
      </c>
      <c r="F489" s="5" t="s">
        <v>380</v>
      </c>
      <c r="G489" s="5" t="s">
        <v>377</v>
      </c>
      <c r="H489" s="5" t="s">
        <v>28</v>
      </c>
      <c r="I489" s="5">
        <v>13</v>
      </c>
      <c r="J489" s="5">
        <v>493.23</v>
      </c>
      <c r="K489" s="5">
        <v>4677.54</v>
      </c>
      <c r="L489" s="7">
        <f t="shared" si="21"/>
        <v>6411.99</v>
      </c>
      <c r="M489" s="7">
        <f t="shared" si="22"/>
        <v>1734.4499999999998</v>
      </c>
      <c r="N489" t="str">
        <f t="shared" si="23"/>
        <v>High</v>
      </c>
    </row>
    <row r="490" spans="1:14" x14ac:dyDescent="0.3">
      <c r="A490" s="2">
        <v>46197</v>
      </c>
      <c r="B490" s="3">
        <v>2026</v>
      </c>
      <c r="C490" s="3" t="s">
        <v>33</v>
      </c>
      <c r="D490" s="3" t="s">
        <v>241</v>
      </c>
      <c r="E490" s="3" t="s">
        <v>395</v>
      </c>
      <c r="F490" s="3" t="s">
        <v>396</v>
      </c>
      <c r="G490" s="3" t="s">
        <v>377</v>
      </c>
      <c r="H490" s="3" t="s">
        <v>28</v>
      </c>
      <c r="I490" s="3">
        <v>19</v>
      </c>
      <c r="J490" s="3">
        <v>402.77</v>
      </c>
      <c r="K490" s="3">
        <v>4275.3100000000004</v>
      </c>
      <c r="L490" s="7">
        <f t="shared" si="21"/>
        <v>7652.6299999999992</v>
      </c>
      <c r="M490" s="7">
        <f t="shared" si="22"/>
        <v>3377.3199999999988</v>
      </c>
      <c r="N490" t="str">
        <f t="shared" si="23"/>
        <v>High</v>
      </c>
    </row>
    <row r="491" spans="1:14" x14ac:dyDescent="0.3">
      <c r="A491" s="4">
        <v>46167</v>
      </c>
      <c r="B491" s="5">
        <v>2026</v>
      </c>
      <c r="C491" s="5" t="s">
        <v>74</v>
      </c>
      <c r="D491" s="5" t="s">
        <v>224</v>
      </c>
      <c r="E491" s="5" t="s">
        <v>390</v>
      </c>
      <c r="F491" s="5" t="s">
        <v>391</v>
      </c>
      <c r="G491" s="5" t="s">
        <v>377</v>
      </c>
      <c r="H491" s="5" t="s">
        <v>39</v>
      </c>
      <c r="I491" s="5">
        <v>18</v>
      </c>
      <c r="J491" s="5">
        <v>301.37</v>
      </c>
      <c r="K491" s="5">
        <v>3013.05</v>
      </c>
      <c r="L491" s="7">
        <f t="shared" si="21"/>
        <v>5424.66</v>
      </c>
      <c r="M491" s="7">
        <f t="shared" si="22"/>
        <v>2411.6099999999997</v>
      </c>
      <c r="N491" t="str">
        <f t="shared" si="23"/>
        <v>High</v>
      </c>
    </row>
    <row r="492" spans="1:14" x14ac:dyDescent="0.3">
      <c r="A492" s="2">
        <v>46095</v>
      </c>
      <c r="B492" s="3">
        <v>2026</v>
      </c>
      <c r="C492" s="3" t="s">
        <v>98</v>
      </c>
      <c r="D492" s="3" t="s">
        <v>244</v>
      </c>
      <c r="E492" s="3" t="s">
        <v>379</v>
      </c>
      <c r="F492" s="3" t="s">
        <v>380</v>
      </c>
      <c r="G492" s="3" t="s">
        <v>377</v>
      </c>
      <c r="H492" s="3" t="s">
        <v>39</v>
      </c>
      <c r="I492" s="3">
        <v>20</v>
      </c>
      <c r="J492" s="3">
        <v>374.59</v>
      </c>
      <c r="K492" s="3">
        <v>4944.5600000000004</v>
      </c>
      <c r="L492" s="7">
        <f t="shared" si="21"/>
        <v>7491.7999999999993</v>
      </c>
      <c r="M492" s="7">
        <f t="shared" si="22"/>
        <v>2547.2399999999989</v>
      </c>
      <c r="N492" t="str">
        <f t="shared" si="23"/>
        <v>High</v>
      </c>
    </row>
    <row r="493" spans="1:14" x14ac:dyDescent="0.3">
      <c r="A493" s="4">
        <v>46055</v>
      </c>
      <c r="B493" s="5">
        <v>2026</v>
      </c>
      <c r="C493" s="5" t="s">
        <v>186</v>
      </c>
      <c r="D493" s="5" t="s">
        <v>404</v>
      </c>
      <c r="E493" s="5" t="s">
        <v>375</v>
      </c>
      <c r="F493" s="5" t="s">
        <v>376</v>
      </c>
      <c r="G493" s="5" t="s">
        <v>377</v>
      </c>
      <c r="H493" s="5" t="s">
        <v>28</v>
      </c>
      <c r="I493" s="5">
        <v>17</v>
      </c>
      <c r="J493" s="5">
        <v>426.11</v>
      </c>
      <c r="K493" s="5">
        <v>4745.8500000000004</v>
      </c>
      <c r="L493" s="7">
        <f t="shared" si="21"/>
        <v>7243.87</v>
      </c>
      <c r="M493" s="7">
        <f t="shared" si="22"/>
        <v>2498.0199999999995</v>
      </c>
      <c r="N493" t="str">
        <f t="shared" si="23"/>
        <v>High</v>
      </c>
    </row>
    <row r="494" spans="1:14" x14ac:dyDescent="0.3">
      <c r="A494" s="2">
        <v>46137</v>
      </c>
      <c r="B494" s="3">
        <v>2026</v>
      </c>
      <c r="C494" s="3" t="s">
        <v>163</v>
      </c>
      <c r="D494" s="3" t="s">
        <v>209</v>
      </c>
      <c r="E494" s="3" t="s">
        <v>393</v>
      </c>
      <c r="F494" s="3" t="s">
        <v>394</v>
      </c>
      <c r="G494" s="3" t="s">
        <v>377</v>
      </c>
      <c r="H494" s="3" t="s">
        <v>21</v>
      </c>
      <c r="I494" s="3">
        <v>20</v>
      </c>
      <c r="J494" s="3">
        <v>454.62</v>
      </c>
      <c r="K494" s="3">
        <v>7075.47</v>
      </c>
      <c r="L494" s="7">
        <f t="shared" si="21"/>
        <v>9092.4</v>
      </c>
      <c r="M494" s="7">
        <f t="shared" si="22"/>
        <v>2016.9299999999994</v>
      </c>
      <c r="N494" t="str">
        <f t="shared" si="23"/>
        <v>High</v>
      </c>
    </row>
    <row r="495" spans="1:14" x14ac:dyDescent="0.3">
      <c r="A495" s="4">
        <v>46027</v>
      </c>
      <c r="B495" s="5">
        <v>2026</v>
      </c>
      <c r="C495" s="5" t="s">
        <v>242</v>
      </c>
      <c r="D495" s="5" t="s">
        <v>257</v>
      </c>
      <c r="E495" s="5" t="s">
        <v>390</v>
      </c>
      <c r="F495" s="5" t="s">
        <v>391</v>
      </c>
      <c r="G495" s="5" t="s">
        <v>377</v>
      </c>
      <c r="H495" s="5" t="s">
        <v>16</v>
      </c>
      <c r="I495" s="5">
        <v>19</v>
      </c>
      <c r="J495" s="5">
        <v>299.12</v>
      </c>
      <c r="K495" s="5">
        <v>3492.09</v>
      </c>
      <c r="L495" s="7">
        <f t="shared" si="21"/>
        <v>5683.28</v>
      </c>
      <c r="M495" s="7">
        <f t="shared" si="22"/>
        <v>2191.1899999999996</v>
      </c>
      <c r="N495" t="str">
        <f t="shared" si="23"/>
        <v>High</v>
      </c>
    </row>
    <row r="496" spans="1:14" x14ac:dyDescent="0.3">
      <c r="A496" s="2">
        <v>46144</v>
      </c>
      <c r="B496" s="3">
        <v>2026</v>
      </c>
      <c r="C496" s="3" t="s">
        <v>226</v>
      </c>
      <c r="D496" s="3" t="s">
        <v>427</v>
      </c>
      <c r="E496" s="3" t="s">
        <v>387</v>
      </c>
      <c r="F496" s="3" t="s">
        <v>388</v>
      </c>
      <c r="G496" s="3" t="s">
        <v>377</v>
      </c>
      <c r="H496" s="3" t="s">
        <v>39</v>
      </c>
      <c r="I496" s="3">
        <v>12</v>
      </c>
      <c r="J496" s="3">
        <v>418.73</v>
      </c>
      <c r="K496" s="3">
        <v>3148.06</v>
      </c>
      <c r="L496" s="7">
        <f t="shared" si="21"/>
        <v>5024.76</v>
      </c>
      <c r="M496" s="7">
        <f t="shared" si="22"/>
        <v>1876.7000000000003</v>
      </c>
      <c r="N496" t="str">
        <f t="shared" si="23"/>
        <v>High</v>
      </c>
    </row>
    <row r="497" spans="1:14" x14ac:dyDescent="0.3">
      <c r="A497" s="4">
        <v>46110</v>
      </c>
      <c r="B497" s="5">
        <v>2026</v>
      </c>
      <c r="C497" s="5" t="s">
        <v>78</v>
      </c>
      <c r="D497" s="5" t="s">
        <v>332</v>
      </c>
      <c r="E497" s="5" t="s">
        <v>395</v>
      </c>
      <c r="F497" s="5" t="s">
        <v>396</v>
      </c>
      <c r="G497" s="5" t="s">
        <v>377</v>
      </c>
      <c r="H497" s="5" t="s">
        <v>28</v>
      </c>
      <c r="I497" s="5">
        <v>15</v>
      </c>
      <c r="J497" s="5">
        <v>382.8</v>
      </c>
      <c r="K497" s="5">
        <v>4407</v>
      </c>
      <c r="L497" s="7">
        <f t="shared" si="21"/>
        <v>5742</v>
      </c>
      <c r="M497" s="7">
        <f t="shared" si="22"/>
        <v>1335</v>
      </c>
      <c r="N497" t="str">
        <f t="shared" si="23"/>
        <v>High</v>
      </c>
    </row>
    <row r="498" spans="1:14" x14ac:dyDescent="0.3">
      <c r="A498" s="2">
        <v>46314</v>
      </c>
      <c r="B498" s="3">
        <v>2026</v>
      </c>
      <c r="C498" s="3" t="s">
        <v>183</v>
      </c>
      <c r="D498" s="3" t="s">
        <v>63</v>
      </c>
      <c r="E498" s="3" t="s">
        <v>379</v>
      </c>
      <c r="F498" s="3" t="s">
        <v>380</v>
      </c>
      <c r="G498" s="3" t="s">
        <v>377</v>
      </c>
      <c r="H498" s="3" t="s">
        <v>21</v>
      </c>
      <c r="I498" s="3">
        <v>15</v>
      </c>
      <c r="J498" s="3">
        <v>464.76</v>
      </c>
      <c r="K498" s="3">
        <v>3971.18</v>
      </c>
      <c r="L498" s="7">
        <f t="shared" si="21"/>
        <v>6971.4</v>
      </c>
      <c r="M498" s="7">
        <f t="shared" si="22"/>
        <v>3000.22</v>
      </c>
      <c r="N498" t="str">
        <f t="shared" si="23"/>
        <v>High</v>
      </c>
    </row>
    <row r="499" spans="1:14" x14ac:dyDescent="0.3">
      <c r="A499" s="4">
        <v>46165</v>
      </c>
      <c r="B499" s="5">
        <v>2026</v>
      </c>
      <c r="C499" s="5" t="s">
        <v>115</v>
      </c>
      <c r="D499" s="5" t="s">
        <v>422</v>
      </c>
      <c r="E499" s="5" t="s">
        <v>382</v>
      </c>
      <c r="F499" s="5" t="s">
        <v>383</v>
      </c>
      <c r="G499" s="5" t="s">
        <v>377</v>
      </c>
      <c r="H499" s="5" t="s">
        <v>16</v>
      </c>
      <c r="I499" s="5">
        <v>20</v>
      </c>
      <c r="J499" s="5">
        <v>255.87</v>
      </c>
      <c r="K499" s="5">
        <v>3067.13</v>
      </c>
      <c r="L499" s="7">
        <f t="shared" si="21"/>
        <v>5117.3999999999996</v>
      </c>
      <c r="M499" s="7">
        <f t="shared" si="22"/>
        <v>2050.2699999999995</v>
      </c>
      <c r="N499" t="str">
        <f t="shared" si="23"/>
        <v>High</v>
      </c>
    </row>
    <row r="500" spans="1:14" x14ac:dyDescent="0.3">
      <c r="A500" s="2">
        <v>46352</v>
      </c>
      <c r="B500" s="3">
        <v>2026</v>
      </c>
      <c r="C500" s="3" t="s">
        <v>297</v>
      </c>
      <c r="D500" s="3" t="s">
        <v>48</v>
      </c>
      <c r="E500" s="3" t="s">
        <v>390</v>
      </c>
      <c r="F500" s="3" t="s">
        <v>391</v>
      </c>
      <c r="G500" s="3" t="s">
        <v>377</v>
      </c>
      <c r="H500" s="3" t="s">
        <v>28</v>
      </c>
      <c r="I500" s="3">
        <v>15</v>
      </c>
      <c r="J500" s="3">
        <v>485.71</v>
      </c>
      <c r="K500" s="3">
        <v>5115.3599999999997</v>
      </c>
      <c r="L500" s="7">
        <f t="shared" si="21"/>
        <v>7285.65</v>
      </c>
      <c r="M500" s="7">
        <f t="shared" si="22"/>
        <v>2170.29</v>
      </c>
      <c r="N500" t="str">
        <f t="shared" si="23"/>
        <v>High</v>
      </c>
    </row>
    <row r="501" spans="1:14" x14ac:dyDescent="0.3">
      <c r="A501" s="4">
        <v>46152</v>
      </c>
      <c r="B501" s="5">
        <v>2026</v>
      </c>
      <c r="C501" s="5" t="s">
        <v>193</v>
      </c>
      <c r="D501" s="5" t="s">
        <v>423</v>
      </c>
      <c r="E501" s="5" t="s">
        <v>385</v>
      </c>
      <c r="F501" s="5" t="s">
        <v>386</v>
      </c>
      <c r="G501" s="5" t="s">
        <v>377</v>
      </c>
      <c r="H501" s="5" t="s">
        <v>39</v>
      </c>
      <c r="I501" s="5">
        <v>17</v>
      </c>
      <c r="J501" s="5">
        <v>443.24</v>
      </c>
      <c r="K501" s="5">
        <v>5410.22</v>
      </c>
      <c r="L501" s="7">
        <f t="shared" si="21"/>
        <v>7535.08</v>
      </c>
      <c r="M501" s="7">
        <f t="shared" si="22"/>
        <v>2124.8599999999997</v>
      </c>
      <c r="N501" t="str">
        <f t="shared" si="23"/>
        <v>High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8542-8BB2-46E4-9E26-54C14549061F}">
  <dimension ref="A2:U16"/>
  <sheetViews>
    <sheetView zoomScale="74" workbookViewId="0">
      <selection activeCell="Q13" sqref="Q13"/>
    </sheetView>
  </sheetViews>
  <sheetFormatPr defaultRowHeight="14.4" x14ac:dyDescent="0.3"/>
  <cols>
    <col min="1" max="1" width="13.5546875" bestFit="1" customWidth="1"/>
    <col min="2" max="2" width="20.44140625" bestFit="1" customWidth="1"/>
    <col min="3" max="3" width="12.6640625" bestFit="1" customWidth="1"/>
    <col min="5" max="5" width="13.5546875" bestFit="1" customWidth="1"/>
    <col min="6" max="6" width="19.109375" bestFit="1" customWidth="1"/>
    <col min="7" max="7" width="20.44140625" bestFit="1" customWidth="1"/>
    <col min="9" max="9" width="13.5546875" bestFit="1" customWidth="1"/>
    <col min="10" max="10" width="20.44140625" bestFit="1" customWidth="1"/>
    <col min="11" max="11" width="12.109375" bestFit="1" customWidth="1"/>
    <col min="13" max="13" width="20.44140625" bestFit="1" customWidth="1"/>
    <col min="14" max="14" width="16.33203125" bestFit="1" customWidth="1"/>
    <col min="15" max="16" width="12.6640625" bestFit="1" customWidth="1"/>
    <col min="17" max="17" width="13.6640625" bestFit="1" customWidth="1"/>
    <col min="19" max="19" width="13.5546875" bestFit="1" customWidth="1"/>
    <col min="20" max="20" width="20.44140625" bestFit="1" customWidth="1"/>
    <col min="21" max="21" width="12.6640625" bestFit="1" customWidth="1"/>
  </cols>
  <sheetData>
    <row r="2" spans="1:21" ht="18" x14ac:dyDescent="0.35">
      <c r="A2" s="15" t="s">
        <v>453</v>
      </c>
      <c r="B2" s="14"/>
      <c r="C2" s="14"/>
      <c r="E2" s="16" t="s">
        <v>454</v>
      </c>
      <c r="F2" s="14"/>
      <c r="G2" s="14"/>
      <c r="I2" s="16" t="s">
        <v>455</v>
      </c>
      <c r="J2" s="14"/>
      <c r="K2" s="14"/>
      <c r="M2" s="16" t="s">
        <v>456</v>
      </c>
      <c r="N2" s="14"/>
      <c r="O2" s="14"/>
      <c r="P2" s="14"/>
      <c r="Q2" s="14"/>
      <c r="S2" s="16" t="s">
        <v>457</v>
      </c>
      <c r="T2" s="14"/>
      <c r="U2" s="14"/>
    </row>
    <row r="3" spans="1:21" x14ac:dyDescent="0.3">
      <c r="A3" s="8" t="s">
        <v>431</v>
      </c>
      <c r="B3" t="s">
        <v>433</v>
      </c>
      <c r="C3" t="s">
        <v>434</v>
      </c>
      <c r="E3" s="8" t="s">
        <v>431</v>
      </c>
      <c r="F3" t="s">
        <v>435</v>
      </c>
      <c r="G3" t="s">
        <v>433</v>
      </c>
      <c r="I3" s="8" t="s">
        <v>431</v>
      </c>
      <c r="J3" t="s">
        <v>433</v>
      </c>
      <c r="K3" t="s">
        <v>434</v>
      </c>
      <c r="M3" s="8" t="s">
        <v>433</v>
      </c>
      <c r="N3" s="8" t="s">
        <v>436</v>
      </c>
      <c r="S3" s="8" t="s">
        <v>431</v>
      </c>
      <c r="T3" t="s">
        <v>433</v>
      </c>
      <c r="U3" t="s">
        <v>434</v>
      </c>
    </row>
    <row r="4" spans="1:21" x14ac:dyDescent="0.3">
      <c r="A4" s="9" t="s">
        <v>16</v>
      </c>
      <c r="B4" s="10">
        <v>406020.76999999984</v>
      </c>
      <c r="C4" s="10">
        <v>135447.96000000002</v>
      </c>
      <c r="E4" s="9" t="s">
        <v>15</v>
      </c>
      <c r="F4" s="11">
        <v>789</v>
      </c>
      <c r="G4" s="10">
        <v>230364.65000000005</v>
      </c>
      <c r="I4" s="9" t="s">
        <v>225</v>
      </c>
      <c r="J4" s="10">
        <v>25322.05</v>
      </c>
      <c r="K4" s="10">
        <v>9135.41</v>
      </c>
      <c r="M4" s="8" t="s">
        <v>431</v>
      </c>
      <c r="N4" s="10" t="s">
        <v>437</v>
      </c>
      <c r="O4" s="10" t="s">
        <v>438</v>
      </c>
      <c r="P4" s="10" t="s">
        <v>439</v>
      </c>
      <c r="Q4" s="10" t="s">
        <v>432</v>
      </c>
      <c r="S4" s="9" t="s">
        <v>440</v>
      </c>
      <c r="T4" s="10">
        <v>162911.72999999995</v>
      </c>
      <c r="U4" s="10">
        <v>51227.97</v>
      </c>
    </row>
    <row r="5" spans="1:21" x14ac:dyDescent="0.3">
      <c r="A5" s="9" t="s">
        <v>21</v>
      </c>
      <c r="B5" s="10">
        <v>335657.05</v>
      </c>
      <c r="C5" s="10">
        <v>104478.31000000001</v>
      </c>
      <c r="E5" s="9" t="s">
        <v>120</v>
      </c>
      <c r="F5" s="11">
        <v>1326</v>
      </c>
      <c r="G5" s="10">
        <v>345729.67999999982</v>
      </c>
      <c r="I5" s="9" t="s">
        <v>422</v>
      </c>
      <c r="J5" s="10">
        <v>18435.96</v>
      </c>
      <c r="K5" s="10">
        <v>7549.1600000000008</v>
      </c>
      <c r="M5" s="9" t="s">
        <v>16</v>
      </c>
      <c r="N5" s="10">
        <v>311204.55999999994</v>
      </c>
      <c r="O5" s="10">
        <v>33789.57</v>
      </c>
      <c r="P5" s="10">
        <v>61026.639999999992</v>
      </c>
      <c r="Q5" s="10">
        <v>406020.76999999996</v>
      </c>
      <c r="S5" s="9" t="s">
        <v>441</v>
      </c>
      <c r="T5" s="10">
        <v>91837.339999999967</v>
      </c>
      <c r="U5" s="10">
        <v>29414.039999999997</v>
      </c>
    </row>
    <row r="6" spans="1:21" x14ac:dyDescent="0.3">
      <c r="A6" s="9" t="s">
        <v>39</v>
      </c>
      <c r="B6" s="10">
        <v>334589.08999999997</v>
      </c>
      <c r="C6" s="10">
        <v>113438.9</v>
      </c>
      <c r="E6" s="9" t="s">
        <v>252</v>
      </c>
      <c r="F6" s="11">
        <v>510</v>
      </c>
      <c r="G6" s="10">
        <v>146737.35</v>
      </c>
      <c r="I6" s="9" t="s">
        <v>185</v>
      </c>
      <c r="J6" s="10">
        <v>19041.04</v>
      </c>
      <c r="K6" s="10">
        <v>7123.119999999999</v>
      </c>
      <c r="M6" s="9" t="s">
        <v>21</v>
      </c>
      <c r="N6" s="10">
        <v>260474.48000000007</v>
      </c>
      <c r="O6" s="10">
        <v>27625.94</v>
      </c>
      <c r="P6" s="10">
        <v>47556.630000000005</v>
      </c>
      <c r="Q6" s="10">
        <v>335657.05000000005</v>
      </c>
      <c r="S6" s="9" t="s">
        <v>442</v>
      </c>
      <c r="T6" s="10">
        <v>110390.94</v>
      </c>
      <c r="U6" s="10">
        <v>35911.859999999993</v>
      </c>
    </row>
    <row r="7" spans="1:21" x14ac:dyDescent="0.3">
      <c r="A7" s="9" t="s">
        <v>28</v>
      </c>
      <c r="B7" s="10">
        <v>367091.06000000017</v>
      </c>
      <c r="C7" s="10">
        <v>122527.46</v>
      </c>
      <c r="E7" s="9" t="s">
        <v>288</v>
      </c>
      <c r="F7" s="11">
        <v>324</v>
      </c>
      <c r="G7" s="10">
        <v>78688.52</v>
      </c>
      <c r="I7" s="9" t="s">
        <v>159</v>
      </c>
      <c r="J7" s="10">
        <v>24035.34</v>
      </c>
      <c r="K7" s="10">
        <v>7683.62</v>
      </c>
      <c r="M7" s="9" t="s">
        <v>39</v>
      </c>
      <c r="N7" s="10">
        <v>224750.03999999995</v>
      </c>
      <c r="O7" s="10">
        <v>30774.579999999994</v>
      </c>
      <c r="P7" s="10">
        <v>79064.47</v>
      </c>
      <c r="Q7" s="10">
        <v>334589.08999999997</v>
      </c>
      <c r="S7" s="9" t="s">
        <v>443</v>
      </c>
      <c r="T7" s="10">
        <v>139207.45000000001</v>
      </c>
      <c r="U7" s="10">
        <v>45357.599999999991</v>
      </c>
    </row>
    <row r="8" spans="1:21" x14ac:dyDescent="0.3">
      <c r="A8" s="9" t="s">
        <v>432</v>
      </c>
      <c r="B8" s="10">
        <v>1443357.9699999997</v>
      </c>
      <c r="C8" s="10">
        <v>475892.63000000006</v>
      </c>
      <c r="E8" s="9" t="s">
        <v>311</v>
      </c>
      <c r="F8" s="11">
        <v>931</v>
      </c>
      <c r="G8" s="10">
        <v>274219.75</v>
      </c>
      <c r="I8" s="9" t="s">
        <v>48</v>
      </c>
      <c r="J8" s="10">
        <v>18013.47</v>
      </c>
      <c r="K8" s="10">
        <v>6037.5599999999995</v>
      </c>
      <c r="M8" s="9" t="s">
        <v>28</v>
      </c>
      <c r="N8" s="10">
        <v>264523.39</v>
      </c>
      <c r="O8" s="10">
        <v>33861.269999999997</v>
      </c>
      <c r="P8" s="10">
        <v>68706.399999999994</v>
      </c>
      <c r="Q8" s="10">
        <v>367091.06000000006</v>
      </c>
      <c r="S8" s="9" t="s">
        <v>444</v>
      </c>
      <c r="T8" s="10">
        <v>165749.91</v>
      </c>
      <c r="U8" s="10">
        <v>54295.159999999989</v>
      </c>
    </row>
    <row r="9" spans="1:21" x14ac:dyDescent="0.3">
      <c r="E9" s="9" t="s">
        <v>357</v>
      </c>
      <c r="F9" s="11">
        <v>418</v>
      </c>
      <c r="G9" s="10">
        <v>119907.81</v>
      </c>
      <c r="I9" s="9" t="s">
        <v>182</v>
      </c>
      <c r="J9" s="10">
        <v>20481.93</v>
      </c>
      <c r="K9" s="10">
        <v>6675.63</v>
      </c>
      <c r="M9" s="9" t="s">
        <v>432</v>
      </c>
      <c r="N9" s="10">
        <v>1060952.47</v>
      </c>
      <c r="O9" s="10">
        <v>126051.35999999999</v>
      </c>
      <c r="P9" s="10">
        <v>256354.13999999998</v>
      </c>
      <c r="Q9" s="10">
        <v>1443357.9700000002</v>
      </c>
      <c r="S9" s="9" t="s">
        <v>445</v>
      </c>
      <c r="T9" s="10">
        <v>88775.959999999992</v>
      </c>
      <c r="U9" s="10">
        <v>28948.550000000003</v>
      </c>
    </row>
    <row r="10" spans="1:21" x14ac:dyDescent="0.3">
      <c r="E10" s="9" t="s">
        <v>377</v>
      </c>
      <c r="F10" s="11">
        <v>1016</v>
      </c>
      <c r="G10" s="10">
        <v>247710.20999999993</v>
      </c>
      <c r="I10" s="9" t="s">
        <v>77</v>
      </c>
      <c r="J10" s="10">
        <v>21957.000000000004</v>
      </c>
      <c r="K10" s="10">
        <v>7055.0400000000018</v>
      </c>
      <c r="S10" s="9" t="s">
        <v>446</v>
      </c>
      <c r="T10" s="10">
        <v>136464.63999999998</v>
      </c>
      <c r="U10" s="10">
        <v>46265.149999999994</v>
      </c>
    </row>
    <row r="11" spans="1:21" x14ac:dyDescent="0.3">
      <c r="E11" s="9" t="s">
        <v>432</v>
      </c>
      <c r="F11" s="11">
        <v>5314</v>
      </c>
      <c r="G11" s="10">
        <v>1443357.9699999997</v>
      </c>
      <c r="I11" s="9" t="s">
        <v>301</v>
      </c>
      <c r="J11" s="10">
        <v>17528.47</v>
      </c>
      <c r="K11" s="10">
        <v>5391.05</v>
      </c>
      <c r="S11" s="9" t="s">
        <v>447</v>
      </c>
      <c r="T11" s="10">
        <v>108283.64000000004</v>
      </c>
      <c r="U11" s="10">
        <v>36490.700000000004</v>
      </c>
    </row>
    <row r="12" spans="1:21" x14ac:dyDescent="0.3">
      <c r="I12" s="9" t="s">
        <v>67</v>
      </c>
      <c r="J12" s="10">
        <v>18240.7</v>
      </c>
      <c r="K12" s="10">
        <v>5321.1399999999994</v>
      </c>
      <c r="S12" s="9" t="s">
        <v>448</v>
      </c>
      <c r="T12" s="10">
        <v>107520.87000000001</v>
      </c>
      <c r="U12" s="10">
        <v>35242.65</v>
      </c>
    </row>
    <row r="13" spans="1:21" x14ac:dyDescent="0.3">
      <c r="I13" s="9" t="s">
        <v>178</v>
      </c>
      <c r="J13" s="10">
        <v>28354.22</v>
      </c>
      <c r="K13" s="10">
        <v>8320.77</v>
      </c>
      <c r="S13" s="9" t="s">
        <v>449</v>
      </c>
      <c r="T13" s="10">
        <v>99762.76</v>
      </c>
      <c r="U13" s="10">
        <v>35443.840000000004</v>
      </c>
    </row>
    <row r="14" spans="1:21" x14ac:dyDescent="0.3">
      <c r="I14" s="9" t="s">
        <v>432</v>
      </c>
      <c r="J14" s="10">
        <v>211410.18000000002</v>
      </c>
      <c r="K14" s="10">
        <v>70292.5</v>
      </c>
      <c r="S14" s="9" t="s">
        <v>450</v>
      </c>
      <c r="T14" s="10">
        <v>118913.19</v>
      </c>
      <c r="U14" s="10">
        <v>38838.379999999997</v>
      </c>
    </row>
    <row r="15" spans="1:21" x14ac:dyDescent="0.3">
      <c r="S15" s="9" t="s">
        <v>451</v>
      </c>
      <c r="T15" s="10">
        <v>113539.53999999998</v>
      </c>
      <c r="U15" s="10">
        <v>38456.729999999989</v>
      </c>
    </row>
    <row r="16" spans="1:21" x14ac:dyDescent="0.3">
      <c r="S16" s="9" t="s">
        <v>432</v>
      </c>
      <c r="T16" s="10">
        <v>1443357.97</v>
      </c>
      <c r="U16" s="10">
        <v>475892.63</v>
      </c>
    </row>
  </sheetData>
  <mergeCells count="5">
    <mergeCell ref="A2:C2"/>
    <mergeCell ref="E2:G2"/>
    <mergeCell ref="I2:K2"/>
    <mergeCell ref="M2:Q2"/>
    <mergeCell ref="S2: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AECE-8C40-4D7E-9AAE-3CE0EE834584}">
  <dimension ref="A1:V4"/>
  <sheetViews>
    <sheetView tabSelected="1" zoomScale="53" workbookViewId="0">
      <selection activeCell="Z30" sqref="Z30"/>
    </sheetView>
  </sheetViews>
  <sheetFormatPr defaultRowHeight="14.4" x14ac:dyDescent="0.3"/>
  <cols>
    <col min="1" max="16384" width="8.88671875" style="13"/>
  </cols>
  <sheetData>
    <row r="1" spans="1:22" x14ac:dyDescent="0.3">
      <c r="A1" s="17" t="s">
        <v>452</v>
      </c>
      <c r="B1" s="12"/>
      <c r="C1" s="12"/>
      <c r="D1" s="12"/>
      <c r="E1" s="12"/>
      <c r="F1" s="12"/>
      <c r="G1" s="12"/>
      <c r="H1" s="12"/>
      <c r="I1" s="12"/>
      <c r="J1" s="12"/>
      <c r="K1" s="12"/>
      <c r="L1" s="12"/>
      <c r="M1" s="12"/>
      <c r="N1" s="12"/>
    </row>
    <row r="2" spans="1:22" x14ac:dyDescent="0.3">
      <c r="A2" s="12"/>
      <c r="B2" s="12"/>
      <c r="C2" s="12"/>
      <c r="D2" s="12"/>
      <c r="E2" s="12"/>
      <c r="F2" s="12"/>
      <c r="G2" s="12"/>
      <c r="H2" s="12"/>
      <c r="I2" s="12"/>
      <c r="J2" s="12"/>
      <c r="K2" s="12"/>
      <c r="L2" s="12"/>
      <c r="M2" s="12"/>
      <c r="N2" s="12"/>
    </row>
    <row r="3" spans="1:22" x14ac:dyDescent="0.3">
      <c r="B3" s="18" t="s">
        <v>458</v>
      </c>
      <c r="C3" s="14"/>
      <c r="D3" s="14"/>
      <c r="E3" s="14"/>
      <c r="F3" s="14"/>
      <c r="G3" s="14"/>
      <c r="H3" s="14"/>
      <c r="I3" s="14"/>
      <c r="J3" s="14"/>
      <c r="K3" s="14"/>
      <c r="L3" s="14"/>
      <c r="M3" s="14"/>
      <c r="N3" s="14"/>
      <c r="O3" s="14"/>
      <c r="P3" s="14"/>
      <c r="Q3" s="14"/>
      <c r="R3" s="14"/>
      <c r="S3" s="14"/>
      <c r="T3" s="14"/>
      <c r="U3" s="14"/>
      <c r="V3" s="14"/>
    </row>
    <row r="4" spans="1:22" x14ac:dyDescent="0.3">
      <c r="B4" s="14"/>
      <c r="C4" s="14"/>
      <c r="D4" s="14"/>
      <c r="E4" s="14"/>
      <c r="F4" s="14"/>
      <c r="G4" s="14"/>
      <c r="H4" s="14"/>
      <c r="I4" s="14"/>
      <c r="J4" s="14"/>
      <c r="K4" s="14"/>
      <c r="L4" s="14"/>
      <c r="M4" s="14"/>
      <c r="N4" s="14"/>
      <c r="O4" s="14"/>
      <c r="P4" s="14"/>
      <c r="Q4" s="14"/>
      <c r="R4" s="14"/>
      <c r="S4" s="14"/>
      <c r="T4" s="14"/>
      <c r="U4" s="14"/>
      <c r="V4" s="14"/>
    </row>
  </sheetData>
  <mergeCells count="2">
    <mergeCell ref="A1:N2"/>
    <mergeCell ref="B3: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sayyedhuzaif1207@gmail.com</dc:creator>
  <cp:lastModifiedBy>sayyedhuzaif1207@gmail.com</cp:lastModifiedBy>
  <dcterms:created xsi:type="dcterms:W3CDTF">2026-10-01T06:49:45Z</dcterms:created>
  <dcterms:modified xsi:type="dcterms:W3CDTF">2026-10-07T07:22:18Z</dcterms:modified>
</cp:coreProperties>
</file>